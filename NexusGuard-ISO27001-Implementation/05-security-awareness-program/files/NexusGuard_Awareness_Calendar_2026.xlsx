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Month Calendar" sheetId="1" state="visible" r:id="rId3"/>
    <sheet name="Module Schedule" sheetId="2" state="visible" r:id="rId4"/>
    <sheet name="KPI Tracker" sheetId="3" state="visible" r:id="rId5"/>
    <sheet name="Phishing Trajectory" sheetId="4" state="visible" r:id="rId6"/>
    <sheet name="Abou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<sst xmlns="http://schemas.openxmlformats.org/spreadsheetml/2006/main" count="450" uniqueCount="264">
  <si>
    <t xml:space="preserve">NexusGuard Security Awareness Calendar, FY2026</t>
  </si>
  <si>
    <t xml:space="preserve">One theme per month. Core modules (GS) go to all 450 staff; specialist modules go to the IT, Management and Customer-facing tracks. Simulation rounds run every second month. Module codes are in the Module Schedule sheet.</t>
  </si>
  <si>
    <t xml:space="preserve">Month</t>
  </si>
  <si>
    <t xml:space="preserve">Theme</t>
  </si>
  <si>
    <t xml:space="preserve">Objective</t>
  </si>
  <si>
    <t xml:space="preserve">Key activities</t>
  </si>
  <si>
    <t xml:space="preserve">Target groups</t>
  </si>
  <si>
    <t xml:space="preserve">Delivery channels</t>
  </si>
  <si>
    <t xml:space="preserve">Responsible parties</t>
  </si>
  <si>
    <t xml:space="preserve">Metrics and targets</t>
  </si>
  <si>
    <t xml:space="preserve">Compliance link</t>
  </si>
  <si>
    <t xml:space="preserve">Phishing simulation</t>
  </si>
  <si>
    <t xml:space="preserve">January</t>
  </si>
  <si>
    <t xml:space="preserve">Password security and MFA</t>
  </si>
  <si>
    <t xml:space="preserve">Make strong passwords, a password manager and MFA the norm, and launch the program.</t>
  </si>
  <si>
    <t xml:space="preserve">Program launch message from the CEO and CISO; assign GS-2 Passwords, MFA and password managers (20 min) to all staff; password manager rollout with drop-in clinics; IT-3 Privileged access security for IT staff; nominate security champions (one per team); baseline security culture survey; Data Privacy Day tip (28 Jan).</t>
  </si>
  <si>
    <t xml:space="preserve">All staff; IT and Technical staff (privileged access)</t>
  </si>
  <si>
    <t xml:space="preserve">LMS e-learning; CEO and CISO email; intranet; drop-in clinics; team huddles</t>
  </si>
  <si>
    <t xml:space="preserve">CISO (sponsor); GRC Analyst (program manager); IT Security Manager; HR (LMS); Communications</t>
  </si>
  <si>
    <t xml:space="preserve">GS-2 completed by 90% of staff by month end; password manager adopted by 50% of staff; culture survey response 60% or more</t>
  </si>
  <si>
    <t xml:space="preserve">ISO A.6.3; HIPAA 164.308(a)(5)(ii)(D); PCI DSS 12.6.1, 12.6.3; NCA ECC 1-10</t>
  </si>
  <si>
    <t xml:space="preserve">No round</t>
  </si>
  <si>
    <t xml:space="preserve">February</t>
  </si>
  <si>
    <t xml:space="preserve">Phishing Awareness Month</t>
  </si>
  <si>
    <t xml:space="preserve">Cut click and credential entry rates and make reporting a habit.</t>
  </si>
  <si>
    <t xml:space="preserve">Safer Internet Day launch; assign GS-3 Phishing and social engineering (30 min) to all staff; promote the Report Phishing button; phishing simulation round 1 (late month); weekly "phish of the week" tips; just-in-time 5-minute lesson for anyone who clicks; micro-simulations for new joiners.</t>
  </si>
  <si>
    <t xml:space="preserve">All staff; Customer-facing teams (introduction to vishing)</t>
  </si>
  <si>
    <t xml:space="preserve">LMS; simulation platform; posters and digital signage; newsletter; intranet</t>
  </si>
  <si>
    <t xml:space="preserve">IT Security Manager (simulation); GRC Analyst; HR; Communications</t>
  </si>
  <si>
    <t xml:space="preserve">GS-3 completion 95% or more; round 1 click rate 28% or less (baseline 34%); credential entry 12% or less (baseline 18%); report rate measured, target 20% or more</t>
  </si>
  <si>
    <t xml:space="preserve">ISO A.6.3; HIPAA 164.308(a)(5)(ii)(B); PCI DSS 12.6.3.1; NCA ECC 1-10</t>
  </si>
  <si>
    <t xml:space="preserve">Round 1</t>
  </si>
  <si>
    <t xml:space="preserve">March</t>
  </si>
  <si>
    <t xml:space="preserve">Social engineering and business email compromise</t>
  </si>
  <si>
    <t xml:space="preserve">Equip executives, finance and customer-facing staff to resist impersonation and payment fraud.</t>
  </si>
  <si>
    <t xml:space="preserve">MG-1 Executive BEC workshop (60 min, live); finance payment-verification drill (call-back rule); CF-2 Vishing role-play for customer-facing teams (45 min); GS-4 Social engineering and impersonation (15 min) for all staff; Q1 knowledge pulse quiz (10 questions).</t>
  </si>
  <si>
    <t xml:space="preserve">Management and Executives; Finance; Customer-facing teams; All staff</t>
  </si>
  <si>
    <t xml:space="preserve">Live workshop; role-play; e-learning; email</t>
  </si>
  <si>
    <t xml:space="preserve">CISO; Finance lead; Customer Support lead; GRC Analyst</t>
  </si>
  <si>
    <t xml:space="preserve">Executive workshop attendance 90% or more; vishing verification success 70% or more (first run sets baseline); Q1 quiz average 80% or more</t>
  </si>
  <si>
    <t xml:space="preserve">ISO A.6.3; PCI DSS 12.6.3.1; HIPAA 164.308(a)(5)(i); NCA ECC 1-10</t>
  </si>
  <si>
    <t xml:space="preserve">April</t>
  </si>
  <si>
    <t xml:space="preserve">Data handling, classification and privacy</t>
  </si>
  <si>
    <t xml:space="preserve">Teach correct classification and handling of PHI, card data and personal data, and privacy duties.</t>
  </si>
  <si>
    <t xml:space="preserve">CF-1 Handling PHI and personal data under HIPAA and GDPR (60 min) for customer-facing teams; GS-5 Data classification and handling (20 min) for all staff, using the quick reference guide; MG-2 Data governance briefing for managers (45 min); phishing simulation round 2; DPO question-and-answer session; "clean-up week" to find and secure stray sensitive files.</t>
  </si>
  <si>
    <t xml:space="preserve">Customer-facing teams; All staff; Managers; IT staff (data in tickets and logs)</t>
  </si>
  <si>
    <t xml:space="preserve">LMS; live Q&amp;A; quick reference cards; simulation platform</t>
  </si>
  <si>
    <t xml:space="preserve">DPO; Compliance Officer; GRC Analyst; IT Security Manager (simulation)</t>
  </si>
  <si>
    <t xml:space="preserve">Customer-facing completion 100%; classification quiz average 85% or more; click rate 20% or less; credential entry 8% or less; report rate 35% or more</t>
  </si>
  <si>
    <t xml:space="preserve">ISO A.6.3, A.5.12; HIPAA 164.308(a)(5)(i); GDPR Art. 39(1)(b); PCI DSS 12.6.3; NCA ECC 1-10</t>
  </si>
  <si>
    <t xml:space="preserve">Round 2</t>
  </si>
  <si>
    <t xml:space="preserve">May</t>
  </si>
  <si>
    <t xml:space="preserve">Secure remote work, mobile and travel</t>
  </si>
  <si>
    <t xml:space="preserve">Reduce risk from home networks, public Wi-Fi, personal devices and travel.</t>
  </si>
  <si>
    <t xml:space="preserve">GS-6 Working securely anywhere (20 min); home-working security self-assessment (per the Acceptable Use Policy); World Password Day (first Thursday) reminder on passphrases; travel security briefing for frequent travelers; BYOD enrollment drive with IT drop-in help.</t>
  </si>
  <si>
    <t xml:space="preserve">All staff; Remote and hybrid staff; Frequent travelers</t>
  </si>
  <si>
    <t xml:space="preserve">LMS; self-assessment form; email; intranet; IT drop-in</t>
  </si>
  <si>
    <t xml:space="preserve">IT Security Manager; IT Operations Manager; HR; GRC Analyst</t>
  </si>
  <si>
    <t xml:space="preserve">GS-6 completion 95% or more; self-assessment completion 90% or more; personal devices in the managed container 95% or more; MFA on remote access 95% or more</t>
  </si>
  <si>
    <t xml:space="preserve">ISO A.6.3, A.6.7; HIPAA 164.308(a)(5)(ii)(A); PCI DSS 12.6.3.2; NCA ECC 1-10</t>
  </si>
  <si>
    <t xml:space="preserve">June</t>
  </si>
  <si>
    <t xml:space="preserve">Secure coding and vulnerability management</t>
  </si>
  <si>
    <t xml:space="preserve">Strengthen secure development, patching and secrets handling in the technical teams.</t>
  </si>
  <si>
    <t xml:space="preserve">IT-1 Secure coding workshop on OWASP Top 10, secrets and dependencies (4 hours) with hands-on labs; IT-2 Vulnerability management and patch SLAs (90 min); code review clinic; CF-3 Secure communications and verification (20 min); phishing simulation round 3; micro-lesson for all staff on unsafe software and shadow IT.</t>
  </si>
  <si>
    <t xml:space="preserve">IT and Technical staff; Customer-facing teams; All staff (micro-lesson)</t>
  </si>
  <si>
    <t xml:space="preserve">Workshops; labs; LMS; engineering all-hands; simulation platform</t>
  </si>
  <si>
    <t xml:space="preserve">CISO; Engineering lead; IT Security Manager; GRC Analyst</t>
  </si>
  <si>
    <t xml:space="preserve">IT workshop completion 95% or more; lab pass mark 80% or more; mean time to patch Critical vulnerabilities 10 days or less; click rate 14% or less; credential entry 5% or less; report rate 45% or more</t>
  </si>
  <si>
    <t xml:space="preserve">ISO A.6.3, A.8.25; HIPAA 164.308(a)(5)(ii)(B); PCI DSS 12.6.3, 6.2.2; NCA ECC 1-10</t>
  </si>
  <si>
    <t xml:space="preserve">Round 3</t>
  </si>
  <si>
    <t xml:space="preserve">July</t>
  </si>
  <si>
    <t xml:space="preserve">Physical security and insider risk</t>
  </si>
  <si>
    <t xml:space="preserve">Strengthen clean desk, visitor and tailgating habits, and teach insider risk basics.</t>
  </si>
  <si>
    <t xml:space="preserve">GS-7 Physical security and clean desk (15 min); clean desk and screen lock walk-through audits at each office; tailgating test with the security team; security champions drive; reminder to report lost devices within 1 hour; Q3 management security briefing.</t>
  </si>
  <si>
    <t xml:space="preserve">All staff; Reception and facilities; Managers</t>
  </si>
  <si>
    <t xml:space="preserve">E-learning; floor walks; posters; digital signage</t>
  </si>
  <si>
    <t xml:space="preserve">Facilities Manager; Security team; HR; GRC Analyst</t>
  </si>
  <si>
    <t xml:space="preserve">GS-7 completion 95% or more; clean desk audit pass 90% or more; tailgating challenge rate 70% or more</t>
  </si>
  <si>
    <t xml:space="preserve">ISO A.6.3, A.7.7; HIPAA 164.310(a), (c); PCI DSS 12.6.3, 9; NCA ECC 1-10</t>
  </si>
  <si>
    <t xml:space="preserve">August</t>
  </si>
  <si>
    <t xml:space="preserve">Incident reporting and response readiness</t>
  </si>
  <si>
    <t xml:space="preserve">Make everyone fluent in reporting and test the technical and executive response.</t>
  </si>
  <si>
    <t xml:space="preserve">"See it, report it" campaign on the 1-hour reporting rule; GS-8 Incident reporting (10 min); CF-5 Incident reporting for customer data (15 min); IT-4 Incident response tabletop (2 hours); MG-3 Executive breach tabletop (2 hours) with Legal and the DPO; phishing simulation round 4; recognition for the best reporters.</t>
  </si>
  <si>
    <t xml:space="preserve">All staff; IT and Technical staff; Management and Executives; Customer-facing teams</t>
  </si>
  <si>
    <t xml:space="preserve">Campaign posters; live tabletops; simulation platform; email</t>
  </si>
  <si>
    <t xml:space="preserve">Security Operations Center Manager; CISO; Legal and DPO; GRC Analyst</t>
  </si>
  <si>
    <t xml:space="preserve">Tabletop attendance 90% or more; tabletop actions closed within 30 days 80% or more; click rate 10% or less; credential entry 3% or less; report rate 55% or more; median time to report 45 minutes or less</t>
  </si>
  <si>
    <t xml:space="preserve">ISO A.6.3, A.5.24 to A.5.26; HIPAA 164.308(a)(6); PCI DSS 12.6.3, 12.10; NCA ECC 1-10</t>
  </si>
  <si>
    <t xml:space="preserve">Round 4</t>
  </si>
  <si>
    <t xml:space="preserve">September</t>
  </si>
  <si>
    <t xml:space="preserve">Cloud, SaaS and AI safe use</t>
  </si>
  <si>
    <t xml:space="preserve">Prevent shadow IT and data leakage through unapproved tools and generative AI.</t>
  </si>
  <si>
    <t xml:space="preserve">GS-9 Approved tools and safe AI use (20 min) tied to the Acceptable Use Policy; publish the approved services register; IT-5 Cloud security configuration briefing on public storage and identity (90 min); management data governance reminder; CF-4 Vishing test and refresher; Acceptable Use Policy re-acknowledgment drive.</t>
  </si>
  <si>
    <t xml:space="preserve">All staff; IT and Technical staff; Customer-facing teams; Management</t>
  </si>
  <si>
    <t xml:space="preserve">LMS; briefing; intranet; question-and-answer with Security</t>
  </si>
  <si>
    <t xml:space="preserve">CISO; Head of IT; GRC Analyst; Legal</t>
  </si>
  <si>
    <t xml:space="preserve">GS-9 completion 95% or more; Acceptable Use Policy acknowledgment 98% or more; IT briefing attendance 95% or more</t>
  </si>
  <si>
    <t xml:space="preserve">ISO A.6.3, A.5.23; HIPAA 164.308(a)(5)(i); PCI DSS 12.6.3.2; NCA ECC 1-10</t>
  </si>
  <si>
    <t xml:space="preserve">October</t>
  </si>
  <si>
    <t xml:space="preserve">Cybersecurity Awareness Month</t>
  </si>
  <si>
    <t xml:space="preserve">Run a company-wide capstone campaign, reinforce all habits and measure progress.</t>
  </si>
  <si>
    <t xml:space="preserve">Month-long campaign with weekly themes (passwords and MFA, phishing, updates, reporting); live webinar with the CISO; phishing simulation round 5; annual knowledge assessment of 20 questions for all staff; optional IT capture-the-flag (IT-6); champions awards; quarterly management briefing; family security tips handout.</t>
  </si>
  <si>
    <t xml:space="preserve">All staff; All tracks</t>
  </si>
  <si>
    <t xml:space="preserve">All channels; webinar; competitions; intranet</t>
  </si>
  <si>
    <t xml:space="preserve">CISO; GRC Analyst; Communications; HR; Security champions</t>
  </si>
  <si>
    <t xml:space="preserve">Campaign participation 70% or more; annual assessment completed by 95% with average 85% or more; click rate 7% or less; credential entry 2% or less; report rate 65% or more</t>
  </si>
  <si>
    <t xml:space="preserve">ISO A.6.3; HIPAA 164.308(a)(5)(ii)(A); PCI DSS 12.6.3; NCA ECC 1-10</t>
  </si>
  <si>
    <t xml:space="preserve">Round 5</t>
  </si>
  <si>
    <t xml:space="preserve">November</t>
  </si>
  <si>
    <t xml:space="preserve">Regulatory obligations and third-party risk</t>
  </si>
  <si>
    <t xml:space="preserve">Make sure managers and staff understand HIPAA, PCI DSS, GDPR and NCA ECC duties and supplier risks.</t>
  </si>
  <si>
    <t xml:space="preserve">MG-4 Regulatory obligations briefing for executives (60 min); GS-11 Compliance refresher for all staff (20 min); supplier and invoice-change fraud awareness for finance and procurement; seasonal scams micro-lesson (shopping and delivery scams); annual policy review reminder.</t>
  </si>
  <si>
    <t xml:space="preserve">Management and Executives; Finance and Procurement; All staff</t>
  </si>
  <si>
    <t xml:space="preserve">Live briefing; LMS; newsletter</t>
  </si>
  <si>
    <t xml:space="preserve">Compliance Officer; DPO; Legal; Procurement; GRC Analyst</t>
  </si>
  <si>
    <t xml:space="preserve">Executive attendance 100%; GS-11 completion 95% or more; policy acknowledgment 98% or more</t>
  </si>
  <si>
    <t xml:space="preserve">ISO A.6.3, A.5.31; HIPAA 164.308(a)(5)(i); PCI DSS 12.6.3; NCA ECC 1-10, 1-9</t>
  </si>
  <si>
    <t xml:space="preserve">December</t>
  </si>
  <si>
    <t xml:space="preserve">Review, recognition and planning</t>
  </si>
  <si>
    <t xml:space="preserve">Close the year with evidence, results and lessons, and plan for FY2027.</t>
  </si>
  <si>
    <t xml:space="preserve">Phishing simulation round 6 (year-end); annual review of the program's effectiveness (PCI DSS 12.6.2); results to the ISSC and the Board; recognition for champions and top reporters; holiday scam and travel tips; update content from incidents and threat trends; FY2027 plan and budget draft.</t>
  </si>
  <si>
    <t xml:space="preserve">All staff; Leadership</t>
  </si>
  <si>
    <t xml:space="preserve">Newsletter; ISSC and Board reports; intranet</t>
  </si>
  <si>
    <t xml:space="preserve">CISO; GRC Analyst; HR; Finance</t>
  </si>
  <si>
    <t xml:space="preserve">Click rate 5% or less; credential entry 1% or less; report rate 70% or more; annual completion 98% or more; program review completed; FY2027 plan approved</t>
  </si>
  <si>
    <t xml:space="preserve">ISO A.6.3, 9.1; HIPAA 164.308(a)(5)(i); PCI DSS 12.6.2; NCA ECC 1-10</t>
  </si>
  <si>
    <t xml:space="preserve">Round 6</t>
  </si>
  <si>
    <t xml:space="preserve">Module Schedule by Track</t>
  </si>
  <si>
    <t xml:space="preserve">A dot shows the month a module is assigned. Core modules apply to every employee. Annual hours are formulas over the table.</t>
  </si>
  <si>
    <t xml:space="preserve">Code</t>
  </si>
  <si>
    <t xml:space="preserve">Track</t>
  </si>
  <si>
    <t xml:space="preserve">Module</t>
  </si>
  <si>
    <t xml:space="preserve">Format</t>
  </si>
  <si>
    <t xml:space="preserve">Minutes</t>
  </si>
  <si>
    <t xml:space="preserve">Jan</t>
  </si>
  <si>
    <t xml:space="preserve">Feb</t>
  </si>
  <si>
    <t xml:space="preserve">Mar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</si>
  <si>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</si>
  <si>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</si>
  <si>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</si>
  <si>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</si>
  <si>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</si>
  <si>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</si>
  <si>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</si>
  <si>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</si>
  <si>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GS-1</t>
  </si>
  <si>
    <t xml:space="preserve">Core (all staff)</t>
  </si>
  <si>
    <t xml:space="preserve">Security essentials and policies</t>
  </si>
  <si>
    <t xml:space="preserve">E-learning</t>
  </si>
  <si>
    <t xml:space="preserve">●</t>
  </si>
  <si>
    <t xml:space="preserve">GS-2</t>
  </si>
  <si>
    <t xml:space="preserve">Passwords, MFA and password managers</t>
  </si>
  <si>
    <t xml:space="preserve">GS-3</t>
  </si>
  <si>
    <t xml:space="preserve">Phishing and social engineering</t>
  </si>
  <si>
    <t xml:space="preserve">E-learning with simulation</t>
  </si>
  <si>
    <t xml:space="preserve">GS-4</t>
  </si>
  <si>
    <t xml:space="preserve">Social engineering and impersonation</t>
  </si>
  <si>
    <t xml:space="preserve">GS-5</t>
  </si>
  <si>
    <t xml:space="preserve">Data classification and handling</t>
  </si>
  <si>
    <t xml:space="preserve">GS-6</t>
  </si>
  <si>
    <t xml:space="preserve">Working securely anywhere (remote, mobile, travel)</t>
  </si>
  <si>
    <t xml:space="preserve">GS-7</t>
  </si>
  <si>
    <t xml:space="preserve">Physical security and clean desk</t>
  </si>
  <si>
    <t xml:space="preserve">GS-8</t>
  </si>
  <si>
    <t xml:space="preserve">Incident reporting</t>
  </si>
  <si>
    <t xml:space="preserve">GS-9</t>
  </si>
  <si>
    <t xml:space="preserve">Approved tools and safe AI use</t>
  </si>
  <si>
    <t xml:space="preserve">GS-10</t>
  </si>
  <si>
    <t xml:space="preserve">Annual knowledge assessment (20 questions)</t>
  </si>
  <si>
    <t xml:space="preserve">Online assessment</t>
  </si>
  <si>
    <t xml:space="preserve">GS-11</t>
  </si>
  <si>
    <t xml:space="preserve">Compliance refresher (HIPAA, PCI DSS, GDPR)</t>
  </si>
  <si>
    <t xml:space="preserve">IT-1</t>
  </si>
  <si>
    <t xml:space="preserve">IT and Technical</t>
  </si>
  <si>
    <t xml:space="preserve">Secure coding workshop (OWASP Top 10, secrets, dependencies)</t>
  </si>
  <si>
    <t xml:space="preserve">Classroom and labs</t>
  </si>
  <si>
    <t xml:space="preserve">IT-2</t>
  </si>
  <si>
    <t xml:space="preserve">Vulnerability management and patch SLAs</t>
  </si>
  <si>
    <t xml:space="preserve">Classroom</t>
  </si>
  <si>
    <t xml:space="preserve">IT-3</t>
  </si>
  <si>
    <t xml:space="preserve">Privileged access security</t>
  </si>
  <si>
    <t xml:space="preserve">Classroom or e-learning</t>
  </si>
  <si>
    <t xml:space="preserve">IT-4</t>
  </si>
  <si>
    <t xml:space="preserve">Incident response tabletop</t>
  </si>
  <si>
    <t xml:space="preserve">Tabletop exercise</t>
  </si>
  <si>
    <t xml:space="preserve">IT-5</t>
  </si>
  <si>
    <t xml:space="preserve">Cloud security configuration</t>
  </si>
  <si>
    <t xml:space="preserve">IT-6</t>
  </si>
  <si>
    <t xml:space="preserve">Capture-the-flag challenge (optional)</t>
  </si>
  <si>
    <t xml:space="preserve">Hands-on lab</t>
  </si>
  <si>
    <t xml:space="preserve">MG-1</t>
  </si>
  <si>
    <t xml:space="preserve">Management and Executives</t>
  </si>
  <si>
    <t xml:space="preserve">Business email compromise and executive impersonation</t>
  </si>
  <si>
    <t xml:space="preserve">Live workshop</t>
  </si>
  <si>
    <t xml:space="preserve">MG-2</t>
  </si>
  <si>
    <t xml:space="preserve">Data governance and classification</t>
  </si>
  <si>
    <t xml:space="preserve">Briefing</t>
  </si>
  <si>
    <t xml:space="preserve">MG-3</t>
  </si>
  <si>
    <t xml:space="preserve">Executive breach tabletop</t>
  </si>
  <si>
    <t xml:space="preserve">MG-4</t>
  </si>
  <si>
    <t xml:space="preserve">Regulatory obligations (HIPAA, PCI DSS, GDPR, NCA ECC)</t>
  </si>
  <si>
    <t xml:space="preserve">Live briefing</t>
  </si>
  <si>
    <t xml:space="preserve">MG-5</t>
  </si>
  <si>
    <t xml:space="preserve">Quarterly security briefing (4 sessions of 20 min)</t>
  </si>
  <si>
    <t xml:space="preserve">CF-1</t>
  </si>
  <si>
    <t xml:space="preserve">Customer-facing</t>
  </si>
  <si>
    <t xml:space="preserve">Handling PHI and personal data (HIPAA, GDPR)</t>
  </si>
  <si>
    <t xml:space="preserve">Classroom with case studies</t>
  </si>
  <si>
    <t xml:space="preserve">CF-2</t>
  </si>
  <si>
    <t xml:space="preserve">Social engineering from customers (vishing role-play)</t>
  </si>
  <si>
    <t xml:space="preserve">Role-play workshop</t>
  </si>
  <si>
    <t xml:space="preserve">CF-3</t>
  </si>
  <si>
    <t xml:space="preserve">Secure communications and verification procedures</t>
  </si>
  <si>
    <t xml:space="preserve">CF-4</t>
  </si>
  <si>
    <t xml:space="preserve">Vishing test and refresher</t>
  </si>
  <si>
    <t xml:space="preserve">Simulation and coaching</t>
  </si>
  <si>
    <t xml:space="preserve">CF-5</t>
  </si>
  <si>
    <t xml:space="preserve">Incident reporting for customer data</t>
  </si>
  <si>
    <t xml:space="preserve">Annual learning hours per person</t>
  </si>
  <si>
    <t xml:space="preserve">Specialist hours</t>
  </si>
  <si>
    <t xml:space="preserve">Core hours</t>
  </si>
  <si>
    <t xml:space="preserve">Total hours per person</t>
  </si>
  <si>
    <t xml:space="preserve">General Staff</t>
  </si>
  <si>
    <t xml:space="preserve">Phishing simulations run in Feb, Apr, Jun, Aug, Oct and Dec for all staff and are not counted in these hours. IT-6 is optional.</t>
  </si>
  <si>
    <t xml:space="preserve">KPI Tracker: targets, actuals and status</t>
  </si>
  <si>
    <t xml:space="preserve">Enter actuals (blue) in the middle block as each month closes. Status compares actual with target. Lower is better: Green at or below target, Amber up to 25% above, Red above that. Higher is better: Green at or above target, Amber down to 90% of target, Red below that. Baseline 34% click and 18% credential entry come from the recent simulation.</t>
  </si>
  <si>
    <t xml:space="preserve">Monthly targets</t>
  </si>
  <si>
    <t xml:space="preserve">KPI</t>
  </si>
  <si>
    <t xml:space="preserve">Better</t>
  </si>
  <si>
    <t xml:space="preserve">Unit</t>
  </si>
  <si>
    <t xml:space="preserve">Baseline</t>
  </si>
  <si>
    <t xml:space="preserve">Phishing click rate</t>
  </si>
  <si>
    <t xml:space="preserve">Lower</t>
  </si>
  <si>
    <t xml:space="preserve">%</t>
  </si>
  <si>
    <t xml:space="preserve">Credential entry rate</t>
  </si>
  <si>
    <t xml:space="preserve">Phishing report rate</t>
  </si>
  <si>
    <t xml:space="preserve">Higher</t>
  </si>
  <si>
    <t xml:space="preserve">not measured</t>
  </si>
  <si>
    <t xml:space="preserve">Repeat clickers (clicked in 2+ rounds)</t>
  </si>
  <si>
    <t xml:space="preserve">Median time to report a phish (minutes)</t>
  </si>
  <si>
    <t xml:space="preserve">min</t>
  </si>
  <si>
    <t xml:space="preserve">Assigned training completed on time</t>
  </si>
  <si>
    <t xml:space="preserve">Average quiz or assessment score</t>
  </si>
  <si>
    <t xml:space="preserve">New joiners trained within 30 days</t>
  </si>
  <si>
    <t xml:space="preserve">Actuals (enter here)</t>
  </si>
  <si>
    <t xml:space="preserve">Status (calculated)</t>
  </si>
  <si>
    <t xml:space="preserve">Phishing simulation: target trajectory</t>
  </si>
  <si>
    <t xml:space="preserve">Targets by simulation round, from the recent baseline. Report rate was not measured in the baseline.</t>
  </si>
  <si>
    <t xml:space="preserve">Round</t>
  </si>
  <si>
    <t xml:space="preserve">Click rate</t>
  </si>
  <si>
    <t xml:space="preserve">Report rate</t>
  </si>
  <si>
    <t xml:space="preserve">Feb (R1)</t>
  </si>
  <si>
    <t xml:space="preserve">Apr (R2)</t>
  </si>
  <si>
    <t xml:space="preserve">Jun (R3)</t>
  </si>
  <si>
    <t xml:space="preserve">Aug (R4)</t>
  </si>
  <si>
    <t xml:space="preserve">Oct (R5)</t>
  </si>
  <si>
    <t xml:space="preserve">Dec (R6)</t>
  </si>
  <si>
    <t xml:space="preserve">About this workbook</t>
  </si>
  <si>
    <t xml:space="preserve">Purpose: the 12-month calendar for the NexusGuard Security Awareness Program (FY2026), supporting the Security Awareness Program Plan.</t>
  </si>
  <si>
    <t xml:space="preserve">Sheets: 12-Month Calendar (themes, activities, groups, channels, owners, metrics); Module Schedule (modules by track and month, with annual hours); KPI Tracker (targets, actuals, status); Phishing Trajectory (targets and chart).</t>
  </si>
  <si>
    <t xml:space="preserve">Audience: General Staff (320), IT and Technical staff (65), Management and Executives (35) and Customer-facing teams (30), 450 in total.</t>
  </si>
  <si>
    <t xml:space="preserve">Baseline: the recent simulation found 34% clicked and 18% entered credentials. The last training was 22 months ago.</t>
  </si>
  <si>
    <t xml:space="preserve">Status rules: see the note on the KPI Tracker sheet. Blue text is an input. Targets are proposals for approval by the CISO.</t>
  </si>
  <si>
    <t xml:space="preserve">Data note: NexusGuard is a fictional company, and all plans, targets and figures are for portfolio use.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</si>
</sst>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F7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4F72"/>
      <name val="Arial"/>
      <family val="0"/>
      <charset val="1"/>
    </font>
    <font>
      <sz val="10"/>
      <color rgb="FF0000FF"/>
      <name val="Arial"/>
      <family val="0"/>
      <charset val="1"/>
    </font>
    <font>
      <sz val="12"/>
      <color rgb="FF1B4F72"/>
      <name val="Arial"/>
      <family val="0"/>
      <charset val="1"/>
    </font>
    <font>
      <b val="true"/>
      <sz val="12"/>
      <color rgb="FF1B4F7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4F72"/>
        <bgColor rgb="FF1E5631"/>
      </patternFill>
    </fill>
    <fill>
      <patternFill patternType="solid">
        <fgColor rgb="FFF2F7FB"/>
        <bgColor rgb="FFFFFFFF"/>
      </patternFill>
    </fill>
    <fill>
      <patternFill patternType="solid">
        <fgColor rgb="FFBDD7EE"/>
        <bgColor rgb="FFD9D9D9"/>
      </patternFill>
    </fill>
    <fill>
      <patternFill patternType="solid">
        <fgColor rgb="FFFFF9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5631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8B1A10"/>
      </font>
      <fill>
        <patternFill>
          <bgColor rgb="FFF4B6B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392B"/>
      <rgbColor rgb="FFFFF9E5"/>
      <rgbColor rgb="FFF2F7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E699"/>
      <rgbColor rgb="FF99CCFF"/>
      <rgbColor rgb="FFFF99CC"/>
      <rgbColor rgb="FFCC99FF"/>
      <rgbColor rgb="FFF4B6B0"/>
      <rgbColor rgb="FF3366FF"/>
      <rgbColor rgb="FF33CCCC"/>
      <rgbColor rgb="FF99CC00"/>
      <rgbColor rgb="FFFFCC00"/>
      <rgbColor rgb="FFF2A541"/>
      <rgbColor rgb="FFFF6600"/>
      <rgbColor rgb="FF595959"/>
      <rgbColor rgb="FF969696"/>
      <rgbColor rgb="FF1B4F72"/>
      <rgbColor rgb="FF2E8B6A"/>
      <rgbColor rgb="FF003300"/>
      <rgbColor rgb="FF333300"/>
      <rgbColor rgb="FF8B1A1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trajectory by simulation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'Phishing Trajectory'!B4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rgbClr val="c0392b"/>
            </a:solidFill>
            <a:ln w="28080">
              <a:solidFill>
                <a:srgbClr val="c0392b"/>
              </a:solidFill>
              <a:round/>
            </a:ln>
          </c:spPr>
          <c:marker>
            <c:symbol val="circle"/>
            <c:size val="7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'Phishing Trajectory'!$A$5:$A$11</c:f>
              <c:strCache>
                <c:ptCount val="7"/>
                <c:pt idx="0">
                  <c:v>Baseline</c:v>
                </c:pt>
                <c:pt idx="1">
                  <c:v>Feb (R1)</c:v>
                </c:pt>
                <c:pt idx="2">
                  <c:v>Apr (R2)</c:v>
                </c:pt>
                <c:pt idx="3">
                  <c:v>Jun (R3)</c:v>
                </c:pt>
                <c:pt idx="4">
                  <c:v>Aug (R4)</c:v>
                </c:pt>
                <c:pt idx="5">
                  <c:v>Oct (R5)</c:v>
                </c:pt>
                <c:pt idx="6">
                  <c:v>Dec (R6)</c:v>
                </c:pt>
              </c:strCache>
            </c:strRef>
          </c:cat>
          <c:val>
            <c:numRef>
              <c:f>'Phishing Trajectory'!$B$5:$B$11</c:f>
              <c:numCache>
                <c:formatCode>0%</c:formatCode>
                <c:ptCount val="7"/>
                <c:pt idx="0">
                  <c:v>0.34</c:v>
                </c:pt>
                <c:pt idx="1">
                  <c:v>0.28</c:v>
                </c:pt>
                <c:pt idx="2">
                  <c:v>0.2</c:v>
                </c:pt>
                <c:pt idx="3">
                  <c:v>0.14</c:v>
                </c:pt>
                <c:pt idx="4">
                  <c:v>0.1</c:v>
                </c:pt>
                <c:pt idx="5">
                  <c:v>0.07</c:v>
                </c:pt>
                <c:pt idx="6">
                  <c:v>0.05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'Phishing Trajectory'!C4</c:f>
              <c:strCache>
                <c:ptCount val="1"/>
                <c:pt idx="0">
                  <c:v>Credential entry rate</c:v>
                </c:pt>
              </c:strCache>
            </c:strRef>
          </c:tx>
          <c:spPr>
            <a:solidFill>
              <a:srgbClr val="f2a541"/>
            </a:solidFill>
            <a:ln w="28080">
              <a:solidFill>
                <a:srgbClr val="f2a541"/>
              </a:solidFill>
              <a:round/>
            </a:ln>
          </c:spPr>
          <c:marker>
            <c:symbol val="circle"/>
            <c:size val="7"/>
            <c:spPr>
              <a:solidFill>
                <a:srgbClr val="f2a54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'Phishing Trajectory'!$A$5:$A$11</c:f>
              <c:strCache>
                <c:ptCount val="7"/>
                <c:pt idx="0">
                  <c:v>Baseline</c:v>
                </c:pt>
                <c:pt idx="1">
                  <c:v>Feb (R1)</c:v>
                </c:pt>
                <c:pt idx="2">
                  <c:v>Apr (R2)</c:v>
                </c:pt>
                <c:pt idx="3">
                  <c:v>Jun (R3)</c:v>
                </c:pt>
                <c:pt idx="4">
                  <c:v>Aug (R4)</c:v>
                </c:pt>
                <c:pt idx="5">
                  <c:v>Oct (R5)</c:v>
                </c:pt>
                <c:pt idx="6">
                  <c:v>Dec (R6)</c:v>
                </c:pt>
              </c:strCache>
            </c:strRef>
          </c:cat>
          <c:val>
            <c:numRef>
              <c:f>'Phishing Trajectory'!$C$5:$C$11</c:f>
              <c:numCache>
                <c:formatCode>0%</c:formatCode>
                <c:ptCount val="7"/>
                <c:pt idx="0">
                  <c:v>0.18</c:v>
                </c:pt>
                <c:pt idx="1">
                  <c:v>0.12</c:v>
                </c:pt>
                <c:pt idx="2">
                  <c:v>0.08</c:v>
                </c:pt>
                <c:pt idx="3">
                  <c:v>0.05</c:v>
                </c:pt>
                <c:pt idx="4">
                  <c:v>0.03</c:v>
                </c:pt>
                <c:pt idx="5">
                  <c:v>0.02</c:v>
                </c:pt>
                <c:pt idx="6">
                  <c:v>0.01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'Phishing Trajectory'!D4</c:f>
              <c:strCache>
                <c:ptCount val="1"/>
                <c:pt idx="0">
                  <c:v>Report rate</c:v>
                </c:pt>
              </c:strCache>
            </c:strRef>
          </c:tx>
          <c:spPr>
            <a:solidFill>
              <a:srgbClr val="2e8b6a"/>
            </a:solidFill>
            <a:ln w="28080">
              <a:solidFill>
                <a:srgbClr val="2e8b6a"/>
              </a:solidFill>
              <a:round/>
            </a:ln>
          </c:spPr>
          <c:marker>
            <c:symbol val="circle"/>
            <c:size val="7"/>
            <c:spPr>
              <a:solidFill>
                <a:srgbClr val="2e8b6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'Phishing Trajectory'!$A$5:$A$11</c:f>
              <c:strCache>
                <c:ptCount val="7"/>
                <c:pt idx="0">
                  <c:v>Baseline</c:v>
                </c:pt>
                <c:pt idx="1">
                  <c:v>Feb (R1)</c:v>
                </c:pt>
                <c:pt idx="2">
                  <c:v>Apr (R2)</c:v>
                </c:pt>
                <c:pt idx="3">
                  <c:v>Jun (R3)</c:v>
                </c:pt>
                <c:pt idx="4">
                  <c:v>Aug (R4)</c:v>
                </c:pt>
                <c:pt idx="5">
                  <c:v>Oct (R5)</c:v>
                </c:pt>
                <c:pt idx="6">
                  <c:v>Dec (R6)</c:v>
                </c:pt>
              </c:strCache>
            </c:strRef>
          </c:cat>
          <c:val>
            <c:numRef>
              <c:f>'Phishing Trajectory'!$D$5:$D$11</c:f>
              <c:numCache>
                <c:formatCode>0%</c:formatCode>
                <c:ptCount val="7"/>
                <c:pt idx="1">
                  <c:v>0.2</c:v>
                </c:pt>
                <c:pt idx="2">
                  <c:v>0.35</c:v>
                </c:pt>
                <c:pt idx="3">
                  <c:v>0.45</c:v>
                </c:pt>
                <c:pt idx="4">
                  <c:v>0.55</c:v>
                </c:pt>
                <c:pt idx="5">
                  <c:v>0.65</c:v>
                </c:pt>
                <c:pt idx="6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30513"/>
        <c:axId val="33205396"/>
      </c:lineChart>
      <c:catAx>
        <c:axId val="89305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05396"/>
        <c:crosses val="autoZero"/>
        <c:auto val="1"/>
        <c:lblAlgn val="ctr"/>
        <c:lblOffset val="100"/>
        <c:noMultiLvlLbl val="0"/>
      </c:catAx>
      <c:valAx>
        <c:axId val="33205396"/>
        <c:scaling>
          <c:orientation val="minMax"/>
          <c:max val="0.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staff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05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15</xdr:col>
      <xdr:colOff>364680</xdr:colOff>
      <xdr:row>18</xdr:row>
      <xdr:rowOff>162000</xdr:rowOff>
    </xdr:to>
    <xdr:graphicFrame>
      <xdr:nvGraphicFramePr>
        <xdr:cNvPr id="0" name="Chart 1"/>
        <xdr:cNvGraphicFramePr/>
      </xdr:nvGraphicFramePr>
      <xdr:xfrm>
        <a:off x="582732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8" min="8" style="0" width="44"/>
    <col collapsed="false" customWidth="true" hidden="false" outlineLevel="0" max="9" min="9" style="0" width="28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24.5" hidden="false" customHeight="true" outlineLevel="0" collapsed="false">
      <c r="A5" s="4" t="s">
        <v>12</v>
      </c>
      <c r="B5" s="5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7" t="s">
        <v>21</v>
      </c>
    </row>
    <row r="6" customFormat="false" ht="124.5" hidden="false" customHeight="true" outlineLevel="0" collapsed="false">
      <c r="A6" s="8" t="s">
        <v>22</v>
      </c>
      <c r="B6" s="9" t="s">
        <v>23</v>
      </c>
      <c r="C6" s="10" t="s">
        <v>24</v>
      </c>
      <c r="D6" s="10" t="s">
        <v>25</v>
      </c>
      <c r="E6" s="10" t="s">
        <v>26</v>
      </c>
      <c r="F6" s="10" t="s">
        <v>27</v>
      </c>
      <c r="G6" s="10" t="s">
        <v>28</v>
      </c>
      <c r="H6" s="10" t="s">
        <v>29</v>
      </c>
      <c r="I6" s="10" t="s">
        <v>30</v>
      </c>
      <c r="J6" s="11" t="s">
        <v>31</v>
      </c>
    </row>
    <row r="7" customFormat="false" ht="124.5" hidden="false" customHeight="true" outlineLevel="0" collapsed="false">
      <c r="A7" s="4" t="s">
        <v>32</v>
      </c>
      <c r="B7" s="5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6" t="s">
        <v>40</v>
      </c>
      <c r="J7" s="7" t="s">
        <v>21</v>
      </c>
    </row>
    <row r="8" customFormat="false" ht="124.5" hidden="false" customHeight="true" outlineLevel="0" collapsed="false">
      <c r="A8" s="8" t="s">
        <v>41</v>
      </c>
      <c r="B8" s="9" t="s">
        <v>42</v>
      </c>
      <c r="C8" s="10" t="s">
        <v>43</v>
      </c>
      <c r="D8" s="10" t="s">
        <v>44</v>
      </c>
      <c r="E8" s="10" t="s">
        <v>45</v>
      </c>
      <c r="F8" s="10" t="s">
        <v>46</v>
      </c>
      <c r="G8" s="10" t="s">
        <v>47</v>
      </c>
      <c r="H8" s="10" t="s">
        <v>48</v>
      </c>
      <c r="I8" s="10" t="s">
        <v>49</v>
      </c>
      <c r="J8" s="11" t="s">
        <v>50</v>
      </c>
    </row>
    <row r="9" customFormat="false" ht="124.5" hidden="false" customHeight="true" outlineLevel="0" collapsed="false">
      <c r="A9" s="4" t="s">
        <v>51</v>
      </c>
      <c r="B9" s="5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57</v>
      </c>
      <c r="H9" s="6" t="s">
        <v>58</v>
      </c>
      <c r="I9" s="6" t="s">
        <v>59</v>
      </c>
      <c r="J9" s="7" t="s">
        <v>21</v>
      </c>
    </row>
    <row r="10" customFormat="false" ht="124.5" hidden="false" customHeight="true" outlineLevel="0" collapsed="false">
      <c r="A10" s="8" t="s">
        <v>60</v>
      </c>
      <c r="B10" s="9" t="s">
        <v>61</v>
      </c>
      <c r="C10" s="10" t="s">
        <v>62</v>
      </c>
      <c r="D10" s="10" t="s">
        <v>63</v>
      </c>
      <c r="E10" s="10" t="s">
        <v>64</v>
      </c>
      <c r="F10" s="10" t="s">
        <v>65</v>
      </c>
      <c r="G10" s="10" t="s">
        <v>66</v>
      </c>
      <c r="H10" s="10" t="s">
        <v>67</v>
      </c>
      <c r="I10" s="10" t="s">
        <v>68</v>
      </c>
      <c r="J10" s="11" t="s">
        <v>69</v>
      </c>
    </row>
    <row r="11" customFormat="false" ht="124.5" hidden="false" customHeight="true" outlineLevel="0" collapsed="false">
      <c r="A11" s="4" t="s">
        <v>70</v>
      </c>
      <c r="B11" s="5" t="s">
        <v>71</v>
      </c>
      <c r="C11" s="6" t="s">
        <v>72</v>
      </c>
      <c r="D11" s="6" t="s">
        <v>73</v>
      </c>
      <c r="E11" s="6" t="s">
        <v>74</v>
      </c>
      <c r="F11" s="6" t="s">
        <v>75</v>
      </c>
      <c r="G11" s="6" t="s">
        <v>76</v>
      </c>
      <c r="H11" s="6" t="s">
        <v>77</v>
      </c>
      <c r="I11" s="6" t="s">
        <v>78</v>
      </c>
      <c r="J11" s="7" t="s">
        <v>21</v>
      </c>
    </row>
    <row r="12" customFormat="false" ht="124.5" hidden="false" customHeight="true" outlineLevel="0" collapsed="false">
      <c r="A12" s="8" t="s">
        <v>79</v>
      </c>
      <c r="B12" s="9" t="s">
        <v>80</v>
      </c>
      <c r="C12" s="10" t="s">
        <v>81</v>
      </c>
      <c r="D12" s="10" t="s">
        <v>82</v>
      </c>
      <c r="E12" s="10" t="s">
        <v>83</v>
      </c>
      <c r="F12" s="10" t="s">
        <v>84</v>
      </c>
      <c r="G12" s="10" t="s">
        <v>85</v>
      </c>
      <c r="H12" s="10" t="s">
        <v>86</v>
      </c>
      <c r="I12" s="10" t="s">
        <v>87</v>
      </c>
      <c r="J12" s="11" t="s">
        <v>88</v>
      </c>
    </row>
    <row r="13" customFormat="false" ht="124.5" hidden="false" customHeight="true" outlineLevel="0" collapsed="false">
      <c r="A13" s="4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7" t="s">
        <v>21</v>
      </c>
    </row>
    <row r="14" customFormat="false" ht="124.5" hidden="false" customHeight="true" outlineLevel="0" collapsed="false">
      <c r="A14" s="8" t="s">
        <v>98</v>
      </c>
      <c r="B14" s="9" t="s">
        <v>99</v>
      </c>
      <c r="C14" s="10" t="s">
        <v>100</v>
      </c>
      <c r="D14" s="10" t="s">
        <v>101</v>
      </c>
      <c r="E14" s="10" t="s">
        <v>102</v>
      </c>
      <c r="F14" s="10" t="s">
        <v>103</v>
      </c>
      <c r="G14" s="10" t="s">
        <v>104</v>
      </c>
      <c r="H14" s="10" t="s">
        <v>105</v>
      </c>
      <c r="I14" s="10" t="s">
        <v>106</v>
      </c>
      <c r="J14" s="11" t="s">
        <v>107</v>
      </c>
    </row>
    <row r="15" customFormat="false" ht="124.5" hidden="false" customHeight="true" outlineLevel="0" collapsed="false">
      <c r="A15" s="4" t="s">
        <v>108</v>
      </c>
      <c r="B15" s="5" t="s">
        <v>109</v>
      </c>
      <c r="C15" s="6" t="s">
        <v>110</v>
      </c>
      <c r="D15" s="6" t="s">
        <v>111</v>
      </c>
      <c r="E15" s="6" t="s">
        <v>112</v>
      </c>
      <c r="F15" s="6" t="s">
        <v>113</v>
      </c>
      <c r="G15" s="6" t="s">
        <v>114</v>
      </c>
      <c r="H15" s="6" t="s">
        <v>115</v>
      </c>
      <c r="I15" s="6" t="s">
        <v>116</v>
      </c>
      <c r="J15" s="7" t="s">
        <v>21</v>
      </c>
    </row>
    <row r="16" customFormat="false" ht="124.5" hidden="false" customHeight="true" outlineLevel="0" collapsed="false">
      <c r="A16" s="8" t="s">
        <v>117</v>
      </c>
      <c r="B16" s="9" t="s">
        <v>118</v>
      </c>
      <c r="C16" s="10" t="s">
        <v>119</v>
      </c>
      <c r="D16" s="10" t="s">
        <v>120</v>
      </c>
      <c r="E16" s="10" t="s">
        <v>121</v>
      </c>
      <c r="F16" s="10" t="s">
        <v>122</v>
      </c>
      <c r="G16" s="10" t="s">
        <v>123</v>
      </c>
      <c r="H16" s="10" t="s">
        <v>124</v>
      </c>
      <c r="I16" s="10" t="s">
        <v>125</v>
      </c>
      <c r="J16" s="11" t="s">
        <v>126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17" min="6" style="0" width="6"/>
  </cols>
  <sheetData>
    <row r="1" customFormat="false" ht="17.35" hidden="false" customHeight="false" outlineLevel="0" collapsed="false">
      <c r="A1" s="12" t="s">
        <v>127</v>
      </c>
    </row>
    <row r="2" customFormat="false" ht="15" hidden="false" customHeight="false" outlineLevel="0" collapsed="false">
      <c r="A2" s="13" t="s">
        <v>128</v>
      </c>
    </row>
    <row r="4" customFormat="false" ht="30" hidden="false" customHeight="true" outlineLevel="0" collapsed="false">
      <c r="A4" s="3" t="s">
        <v>129</v>
      </c>
      <c r="B4" s="3" t="s">
        <v>130</v>
      </c>
      <c r="C4" s="3" t="s">
        <v>131</v>
      </c>
      <c r="D4" s="3" t="s">
        <v>132</v>
      </c>
      <c r="E4" s="3" t="s">
        <v>133</v>
      </c>
      <c r="F4" s="3" t="s">
        <v>134</v>
      </c>
      <c r="G4" s="3" t="s">
        <v>135</v>
      </c>
      <c r="H4" s="3" t="s">
        <v>136</v>
      </c>
      <c r="I4" s="3" t="s">
        <v>137</v>
      </c>
      <c r="J4" s="3" t="s">
        <v>51</v>
      </c>
      <c r="K4" s="3" t="s">
        <v>138</v>
      </c>
      <c r="L4" s="3" t="s">
        <v>139</v>
      </c>
      <c r="M4" s="3" t="s">
        <v>140</v>
      </c>
      <c r="N4" s="3" t="s">
        <v>141</v>
      </c>
      <c r="O4" s="3" t="s">
        <v>142</v>
      </c>
      <c r="P4" s="3" t="s">
        <v>143</v>
      </c>
      <c r="Q4" s="3" t="s">
        <v>144</v>
      </c>
    </row>
    <row r="5" customFormat="false" ht="27.75" hidden="false" customHeight="true" outlineLevel="0" collapsed="false">
      <c r="A5" s="14" t="s">
        <v>145</v>
      </c>
      <c r="B5" s="15" t="s">
        <v>146</v>
      </c>
      <c r="C5" s="15" t="s">
        <v>147</v>
      </c>
      <c r="D5" s="15" t="s">
        <v>148</v>
      </c>
      <c r="E5" s="16" t="n">
        <v>45</v>
      </c>
      <c r="F5" s="17" t="s">
        <v>149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customFormat="false" ht="27.75" hidden="false" customHeight="true" outlineLevel="0" collapsed="false">
      <c r="A6" s="14" t="s">
        <v>150</v>
      </c>
      <c r="B6" s="15" t="s">
        <v>146</v>
      </c>
      <c r="C6" s="15" t="s">
        <v>151</v>
      </c>
      <c r="D6" s="15" t="s">
        <v>148</v>
      </c>
      <c r="E6" s="16" t="n">
        <v>20</v>
      </c>
      <c r="F6" s="17" t="s">
        <v>149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customFormat="false" ht="27.75" hidden="false" customHeight="true" outlineLevel="0" collapsed="false">
      <c r="A7" s="14" t="s">
        <v>152</v>
      </c>
      <c r="B7" s="15" t="s">
        <v>146</v>
      </c>
      <c r="C7" s="15" t="s">
        <v>153</v>
      </c>
      <c r="D7" s="15" t="s">
        <v>154</v>
      </c>
      <c r="E7" s="16" t="n">
        <v>30</v>
      </c>
      <c r="F7" s="18"/>
      <c r="G7" s="17" t="s">
        <v>149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customFormat="false" ht="27.75" hidden="false" customHeight="true" outlineLevel="0" collapsed="false">
      <c r="A8" s="14" t="s">
        <v>155</v>
      </c>
      <c r="B8" s="15" t="s">
        <v>146</v>
      </c>
      <c r="C8" s="15" t="s">
        <v>156</v>
      </c>
      <c r="D8" s="15" t="s">
        <v>148</v>
      </c>
      <c r="E8" s="16" t="n">
        <v>15</v>
      </c>
      <c r="F8" s="18"/>
      <c r="G8" s="18"/>
      <c r="H8" s="17" t="s">
        <v>149</v>
      </c>
      <c r="I8" s="18"/>
      <c r="J8" s="18"/>
      <c r="K8" s="18"/>
      <c r="L8" s="18"/>
      <c r="M8" s="18"/>
      <c r="N8" s="18"/>
      <c r="O8" s="18"/>
      <c r="P8" s="18"/>
      <c r="Q8" s="18"/>
    </row>
    <row r="9" customFormat="false" ht="27.75" hidden="false" customHeight="true" outlineLevel="0" collapsed="false">
      <c r="A9" s="14" t="s">
        <v>157</v>
      </c>
      <c r="B9" s="15" t="s">
        <v>146</v>
      </c>
      <c r="C9" s="15" t="s">
        <v>158</v>
      </c>
      <c r="D9" s="15" t="s">
        <v>148</v>
      </c>
      <c r="E9" s="16" t="n">
        <v>20</v>
      </c>
      <c r="F9" s="18"/>
      <c r="G9" s="18"/>
      <c r="H9" s="18"/>
      <c r="I9" s="17" t="s">
        <v>149</v>
      </c>
      <c r="J9" s="18"/>
      <c r="K9" s="18"/>
      <c r="L9" s="18"/>
      <c r="M9" s="18"/>
      <c r="N9" s="18"/>
      <c r="O9" s="18"/>
      <c r="P9" s="18"/>
      <c r="Q9" s="18"/>
    </row>
    <row r="10" customFormat="false" ht="27.75" hidden="false" customHeight="true" outlineLevel="0" collapsed="false">
      <c r="A10" s="14" t="s">
        <v>159</v>
      </c>
      <c r="B10" s="15" t="s">
        <v>146</v>
      </c>
      <c r="C10" s="15" t="s">
        <v>160</v>
      </c>
      <c r="D10" s="15" t="s">
        <v>148</v>
      </c>
      <c r="E10" s="16" t="n">
        <v>20</v>
      </c>
      <c r="F10" s="18"/>
      <c r="G10" s="18"/>
      <c r="H10" s="18"/>
      <c r="I10" s="18"/>
      <c r="J10" s="17" t="s">
        <v>149</v>
      </c>
      <c r="K10" s="18"/>
      <c r="L10" s="18"/>
      <c r="M10" s="18"/>
      <c r="N10" s="18"/>
      <c r="O10" s="18"/>
      <c r="P10" s="18"/>
      <c r="Q10" s="18"/>
    </row>
    <row r="11" customFormat="false" ht="27.75" hidden="false" customHeight="true" outlineLevel="0" collapsed="false">
      <c r="A11" s="14" t="s">
        <v>161</v>
      </c>
      <c r="B11" s="15" t="s">
        <v>146</v>
      </c>
      <c r="C11" s="15" t="s">
        <v>162</v>
      </c>
      <c r="D11" s="15" t="s">
        <v>148</v>
      </c>
      <c r="E11" s="16" t="n">
        <v>15</v>
      </c>
      <c r="F11" s="18"/>
      <c r="G11" s="18"/>
      <c r="H11" s="18"/>
      <c r="I11" s="18"/>
      <c r="J11" s="18"/>
      <c r="K11" s="18"/>
      <c r="L11" s="17" t="s">
        <v>149</v>
      </c>
      <c r="M11" s="18"/>
      <c r="N11" s="18"/>
      <c r="O11" s="18"/>
      <c r="P11" s="18"/>
      <c r="Q11" s="18"/>
    </row>
    <row r="12" customFormat="false" ht="27.75" hidden="false" customHeight="true" outlineLevel="0" collapsed="false">
      <c r="A12" s="14" t="s">
        <v>163</v>
      </c>
      <c r="B12" s="15" t="s">
        <v>146</v>
      </c>
      <c r="C12" s="15" t="s">
        <v>164</v>
      </c>
      <c r="D12" s="15" t="s">
        <v>148</v>
      </c>
      <c r="E12" s="16" t="n">
        <v>10</v>
      </c>
      <c r="F12" s="18"/>
      <c r="G12" s="18"/>
      <c r="H12" s="18"/>
      <c r="I12" s="18"/>
      <c r="J12" s="18"/>
      <c r="K12" s="18"/>
      <c r="L12" s="18"/>
      <c r="M12" s="17" t="s">
        <v>149</v>
      </c>
      <c r="N12" s="18"/>
      <c r="O12" s="18"/>
      <c r="P12" s="18"/>
      <c r="Q12" s="18"/>
    </row>
    <row r="13" customFormat="false" ht="27.75" hidden="false" customHeight="true" outlineLevel="0" collapsed="false">
      <c r="A13" s="14" t="s">
        <v>165</v>
      </c>
      <c r="B13" s="15" t="s">
        <v>146</v>
      </c>
      <c r="C13" s="15" t="s">
        <v>166</v>
      </c>
      <c r="D13" s="15" t="s">
        <v>148</v>
      </c>
      <c r="E13" s="16" t="n">
        <v>20</v>
      </c>
      <c r="F13" s="18"/>
      <c r="G13" s="18"/>
      <c r="H13" s="18"/>
      <c r="I13" s="18"/>
      <c r="J13" s="18"/>
      <c r="K13" s="18"/>
      <c r="L13" s="18"/>
      <c r="M13" s="18"/>
      <c r="N13" s="17" t="s">
        <v>149</v>
      </c>
      <c r="O13" s="18"/>
      <c r="P13" s="18"/>
      <c r="Q13" s="18"/>
    </row>
    <row r="14" customFormat="false" ht="27.75" hidden="false" customHeight="true" outlineLevel="0" collapsed="false">
      <c r="A14" s="14" t="s">
        <v>167</v>
      </c>
      <c r="B14" s="15" t="s">
        <v>146</v>
      </c>
      <c r="C14" s="15" t="s">
        <v>168</v>
      </c>
      <c r="D14" s="15" t="s">
        <v>169</v>
      </c>
      <c r="E14" s="16" t="n">
        <v>20</v>
      </c>
      <c r="F14" s="18"/>
      <c r="G14" s="18"/>
      <c r="H14" s="18"/>
      <c r="I14" s="18"/>
      <c r="J14" s="18"/>
      <c r="K14" s="18"/>
      <c r="L14" s="18"/>
      <c r="M14" s="18"/>
      <c r="N14" s="18"/>
      <c r="O14" s="17" t="s">
        <v>149</v>
      </c>
      <c r="P14" s="18"/>
      <c r="Q14" s="18"/>
    </row>
    <row r="15" customFormat="false" ht="27.75" hidden="false" customHeight="true" outlineLevel="0" collapsed="false">
      <c r="A15" s="14" t="s">
        <v>170</v>
      </c>
      <c r="B15" s="15" t="s">
        <v>146</v>
      </c>
      <c r="C15" s="15" t="s">
        <v>171</v>
      </c>
      <c r="D15" s="15" t="s">
        <v>148</v>
      </c>
      <c r="E15" s="16" t="n">
        <v>20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7" t="s">
        <v>149</v>
      </c>
      <c r="Q15" s="18"/>
    </row>
    <row r="16" customFormat="false" ht="27.75" hidden="false" customHeight="true" outlineLevel="0" collapsed="false">
      <c r="A16" s="14" t="s">
        <v>172</v>
      </c>
      <c r="B16" s="15" t="s">
        <v>173</v>
      </c>
      <c r="C16" s="15" t="s">
        <v>174</v>
      </c>
      <c r="D16" s="15" t="s">
        <v>175</v>
      </c>
      <c r="E16" s="16" t="n">
        <v>240</v>
      </c>
      <c r="F16" s="18"/>
      <c r="G16" s="18"/>
      <c r="H16" s="18"/>
      <c r="I16" s="18"/>
      <c r="J16" s="18"/>
      <c r="K16" s="17" t="s">
        <v>149</v>
      </c>
      <c r="L16" s="18"/>
      <c r="M16" s="18"/>
      <c r="N16" s="18"/>
      <c r="O16" s="18"/>
      <c r="P16" s="18"/>
      <c r="Q16" s="18"/>
    </row>
    <row r="17" customFormat="false" ht="27.75" hidden="false" customHeight="true" outlineLevel="0" collapsed="false">
      <c r="A17" s="14" t="s">
        <v>176</v>
      </c>
      <c r="B17" s="15" t="s">
        <v>173</v>
      </c>
      <c r="C17" s="15" t="s">
        <v>177</v>
      </c>
      <c r="D17" s="15" t="s">
        <v>178</v>
      </c>
      <c r="E17" s="16" t="n">
        <v>90</v>
      </c>
      <c r="F17" s="18"/>
      <c r="G17" s="18"/>
      <c r="H17" s="18"/>
      <c r="I17" s="18"/>
      <c r="J17" s="18"/>
      <c r="K17" s="17" t="s">
        <v>149</v>
      </c>
      <c r="L17" s="18"/>
      <c r="M17" s="18"/>
      <c r="N17" s="18"/>
      <c r="O17" s="18"/>
      <c r="P17" s="18"/>
      <c r="Q17" s="18"/>
    </row>
    <row r="18" customFormat="false" ht="27.75" hidden="false" customHeight="true" outlineLevel="0" collapsed="false">
      <c r="A18" s="14" t="s">
        <v>179</v>
      </c>
      <c r="B18" s="15" t="s">
        <v>173</v>
      </c>
      <c r="C18" s="15" t="s">
        <v>180</v>
      </c>
      <c r="D18" s="15" t="s">
        <v>181</v>
      </c>
      <c r="E18" s="16" t="n">
        <v>90</v>
      </c>
      <c r="F18" s="17" t="s">
        <v>149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customFormat="false" ht="27.75" hidden="false" customHeight="true" outlineLevel="0" collapsed="false">
      <c r="A19" s="14" t="s">
        <v>182</v>
      </c>
      <c r="B19" s="15" t="s">
        <v>173</v>
      </c>
      <c r="C19" s="15" t="s">
        <v>183</v>
      </c>
      <c r="D19" s="15" t="s">
        <v>184</v>
      </c>
      <c r="E19" s="16" t="n">
        <v>120</v>
      </c>
      <c r="F19" s="18"/>
      <c r="G19" s="18"/>
      <c r="H19" s="18"/>
      <c r="I19" s="18"/>
      <c r="J19" s="18"/>
      <c r="K19" s="18"/>
      <c r="L19" s="18"/>
      <c r="M19" s="17" t="s">
        <v>149</v>
      </c>
      <c r="N19" s="18"/>
      <c r="O19" s="18"/>
      <c r="P19" s="18"/>
      <c r="Q19" s="18"/>
    </row>
    <row r="20" customFormat="false" ht="27.75" hidden="false" customHeight="true" outlineLevel="0" collapsed="false">
      <c r="A20" s="14" t="s">
        <v>185</v>
      </c>
      <c r="B20" s="15" t="s">
        <v>173</v>
      </c>
      <c r="C20" s="15" t="s">
        <v>186</v>
      </c>
      <c r="D20" s="15" t="s">
        <v>178</v>
      </c>
      <c r="E20" s="16" t="n">
        <v>90</v>
      </c>
      <c r="F20" s="18"/>
      <c r="G20" s="18"/>
      <c r="H20" s="18"/>
      <c r="I20" s="18"/>
      <c r="J20" s="18"/>
      <c r="K20" s="18"/>
      <c r="L20" s="18"/>
      <c r="M20" s="18"/>
      <c r="N20" s="17" t="s">
        <v>149</v>
      </c>
      <c r="O20" s="18"/>
      <c r="P20" s="18"/>
      <c r="Q20" s="18"/>
    </row>
    <row r="21" customFormat="false" ht="27.75" hidden="false" customHeight="true" outlineLevel="0" collapsed="false">
      <c r="A21" s="14" t="s">
        <v>187</v>
      </c>
      <c r="B21" s="15" t="s">
        <v>173</v>
      </c>
      <c r="C21" s="15" t="s">
        <v>188</v>
      </c>
      <c r="D21" s="15" t="s">
        <v>189</v>
      </c>
      <c r="E21" s="16" t="n">
        <v>120</v>
      </c>
      <c r="F21" s="18"/>
      <c r="G21" s="18"/>
      <c r="H21" s="18"/>
      <c r="I21" s="18"/>
      <c r="J21" s="18"/>
      <c r="K21" s="18"/>
      <c r="L21" s="18"/>
      <c r="M21" s="18"/>
      <c r="N21" s="18"/>
      <c r="O21" s="17" t="s">
        <v>149</v>
      </c>
      <c r="P21" s="18"/>
      <c r="Q21" s="18"/>
    </row>
    <row r="22" customFormat="false" ht="27.75" hidden="false" customHeight="true" outlineLevel="0" collapsed="false">
      <c r="A22" s="14" t="s">
        <v>190</v>
      </c>
      <c r="B22" s="15" t="s">
        <v>191</v>
      </c>
      <c r="C22" s="15" t="s">
        <v>192</v>
      </c>
      <c r="D22" s="15" t="s">
        <v>193</v>
      </c>
      <c r="E22" s="16" t="n">
        <v>60</v>
      </c>
      <c r="F22" s="18"/>
      <c r="G22" s="18"/>
      <c r="H22" s="17" t="s">
        <v>149</v>
      </c>
      <c r="I22" s="18"/>
      <c r="J22" s="18"/>
      <c r="K22" s="18"/>
      <c r="L22" s="18"/>
      <c r="M22" s="18"/>
      <c r="N22" s="18"/>
      <c r="O22" s="18"/>
      <c r="P22" s="18"/>
      <c r="Q22" s="18"/>
    </row>
    <row r="23" customFormat="false" ht="27.75" hidden="false" customHeight="true" outlineLevel="0" collapsed="false">
      <c r="A23" s="14" t="s">
        <v>194</v>
      </c>
      <c r="B23" s="15" t="s">
        <v>191</v>
      </c>
      <c r="C23" s="15" t="s">
        <v>195</v>
      </c>
      <c r="D23" s="15" t="s">
        <v>196</v>
      </c>
      <c r="E23" s="16" t="n">
        <v>45</v>
      </c>
      <c r="F23" s="18"/>
      <c r="G23" s="18"/>
      <c r="H23" s="18"/>
      <c r="I23" s="17" t="s">
        <v>149</v>
      </c>
      <c r="J23" s="18"/>
      <c r="K23" s="18"/>
      <c r="L23" s="18"/>
      <c r="M23" s="18"/>
      <c r="N23" s="18"/>
      <c r="O23" s="18"/>
      <c r="P23" s="18"/>
      <c r="Q23" s="18"/>
    </row>
    <row r="24" customFormat="false" ht="27.75" hidden="false" customHeight="true" outlineLevel="0" collapsed="false">
      <c r="A24" s="14" t="s">
        <v>197</v>
      </c>
      <c r="B24" s="15" t="s">
        <v>191</v>
      </c>
      <c r="C24" s="15" t="s">
        <v>198</v>
      </c>
      <c r="D24" s="15" t="s">
        <v>184</v>
      </c>
      <c r="E24" s="16" t="n">
        <v>120</v>
      </c>
      <c r="F24" s="18"/>
      <c r="G24" s="18"/>
      <c r="H24" s="18"/>
      <c r="I24" s="18"/>
      <c r="J24" s="18"/>
      <c r="K24" s="18"/>
      <c r="L24" s="18"/>
      <c r="M24" s="17" t="s">
        <v>149</v>
      </c>
      <c r="N24" s="18"/>
      <c r="O24" s="18"/>
      <c r="P24" s="18"/>
      <c r="Q24" s="18"/>
    </row>
    <row r="25" customFormat="false" ht="27.75" hidden="false" customHeight="true" outlineLevel="0" collapsed="false">
      <c r="A25" s="14" t="s">
        <v>199</v>
      </c>
      <c r="B25" s="15" t="s">
        <v>191</v>
      </c>
      <c r="C25" s="15" t="s">
        <v>200</v>
      </c>
      <c r="D25" s="15" t="s">
        <v>201</v>
      </c>
      <c r="E25" s="16" t="n">
        <v>60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7" t="s">
        <v>149</v>
      </c>
      <c r="Q25" s="18"/>
    </row>
    <row r="26" customFormat="false" ht="27.75" hidden="false" customHeight="true" outlineLevel="0" collapsed="false">
      <c r="A26" s="14" t="s">
        <v>202</v>
      </c>
      <c r="B26" s="15" t="s">
        <v>191</v>
      </c>
      <c r="C26" s="15" t="s">
        <v>203</v>
      </c>
      <c r="D26" s="15" t="s">
        <v>196</v>
      </c>
      <c r="E26" s="16" t="n">
        <v>80</v>
      </c>
      <c r="F26" s="17" t="s">
        <v>149</v>
      </c>
      <c r="G26" s="18"/>
      <c r="H26" s="18"/>
      <c r="I26" s="17" t="s">
        <v>149</v>
      </c>
      <c r="J26" s="18"/>
      <c r="K26" s="18"/>
      <c r="L26" s="17" t="s">
        <v>149</v>
      </c>
      <c r="M26" s="18"/>
      <c r="N26" s="18"/>
      <c r="O26" s="17" t="s">
        <v>149</v>
      </c>
      <c r="P26" s="18"/>
      <c r="Q26" s="18"/>
    </row>
    <row r="27" customFormat="false" ht="27.75" hidden="false" customHeight="true" outlineLevel="0" collapsed="false">
      <c r="A27" s="14" t="s">
        <v>204</v>
      </c>
      <c r="B27" s="15" t="s">
        <v>205</v>
      </c>
      <c r="C27" s="15" t="s">
        <v>206</v>
      </c>
      <c r="D27" s="15" t="s">
        <v>207</v>
      </c>
      <c r="E27" s="16" t="n">
        <v>60</v>
      </c>
      <c r="F27" s="18"/>
      <c r="G27" s="18"/>
      <c r="H27" s="18"/>
      <c r="I27" s="17" t="s">
        <v>149</v>
      </c>
      <c r="J27" s="18"/>
      <c r="K27" s="18"/>
      <c r="L27" s="18"/>
      <c r="M27" s="18"/>
      <c r="N27" s="18"/>
      <c r="O27" s="18"/>
      <c r="P27" s="18"/>
      <c r="Q27" s="18"/>
    </row>
    <row r="28" customFormat="false" ht="27.75" hidden="false" customHeight="true" outlineLevel="0" collapsed="false">
      <c r="A28" s="14" t="s">
        <v>208</v>
      </c>
      <c r="B28" s="15" t="s">
        <v>205</v>
      </c>
      <c r="C28" s="15" t="s">
        <v>209</v>
      </c>
      <c r="D28" s="15" t="s">
        <v>210</v>
      </c>
      <c r="E28" s="16" t="n">
        <v>45</v>
      </c>
      <c r="F28" s="18"/>
      <c r="G28" s="18"/>
      <c r="H28" s="17" t="s">
        <v>149</v>
      </c>
      <c r="I28" s="18"/>
      <c r="J28" s="18"/>
      <c r="K28" s="18"/>
      <c r="L28" s="18"/>
      <c r="M28" s="18"/>
      <c r="N28" s="18"/>
      <c r="O28" s="18"/>
      <c r="P28" s="18"/>
      <c r="Q28" s="18"/>
    </row>
    <row r="29" customFormat="false" ht="27.75" hidden="false" customHeight="true" outlineLevel="0" collapsed="false">
      <c r="A29" s="14" t="s">
        <v>211</v>
      </c>
      <c r="B29" s="15" t="s">
        <v>205</v>
      </c>
      <c r="C29" s="15" t="s">
        <v>212</v>
      </c>
      <c r="D29" s="15" t="s">
        <v>148</v>
      </c>
      <c r="E29" s="16" t="n">
        <v>20</v>
      </c>
      <c r="F29" s="18"/>
      <c r="G29" s="18"/>
      <c r="H29" s="18"/>
      <c r="I29" s="18"/>
      <c r="J29" s="18"/>
      <c r="K29" s="17" t="s">
        <v>149</v>
      </c>
      <c r="L29" s="18"/>
      <c r="M29" s="18"/>
      <c r="N29" s="18"/>
      <c r="O29" s="18"/>
      <c r="P29" s="18"/>
      <c r="Q29" s="18"/>
    </row>
    <row r="30" customFormat="false" ht="27.75" hidden="false" customHeight="true" outlineLevel="0" collapsed="false">
      <c r="A30" s="14" t="s">
        <v>213</v>
      </c>
      <c r="B30" s="15" t="s">
        <v>205</v>
      </c>
      <c r="C30" s="15" t="s">
        <v>214</v>
      </c>
      <c r="D30" s="15" t="s">
        <v>215</v>
      </c>
      <c r="E30" s="16" t="n">
        <v>20</v>
      </c>
      <c r="F30" s="18"/>
      <c r="G30" s="18"/>
      <c r="H30" s="18"/>
      <c r="I30" s="18"/>
      <c r="J30" s="18"/>
      <c r="K30" s="18"/>
      <c r="L30" s="18"/>
      <c r="M30" s="18"/>
      <c r="N30" s="17" t="s">
        <v>149</v>
      </c>
      <c r="O30" s="18"/>
      <c r="P30" s="18"/>
      <c r="Q30" s="18"/>
    </row>
    <row r="31" customFormat="false" ht="27.75" hidden="false" customHeight="true" outlineLevel="0" collapsed="false">
      <c r="A31" s="14" t="s">
        <v>216</v>
      </c>
      <c r="B31" s="15" t="s">
        <v>205</v>
      </c>
      <c r="C31" s="15" t="s">
        <v>217</v>
      </c>
      <c r="D31" s="15" t="s">
        <v>148</v>
      </c>
      <c r="E31" s="16" t="n">
        <v>15</v>
      </c>
      <c r="F31" s="18"/>
      <c r="G31" s="18"/>
      <c r="H31" s="18"/>
      <c r="I31" s="18"/>
      <c r="J31" s="18"/>
      <c r="K31" s="18"/>
      <c r="L31" s="18"/>
      <c r="M31" s="17" t="s">
        <v>149</v>
      </c>
      <c r="N31" s="18"/>
      <c r="O31" s="18"/>
      <c r="P31" s="18"/>
      <c r="Q31" s="18"/>
    </row>
    <row r="33" customFormat="false" ht="15" hidden="false" customHeight="false" outlineLevel="0" collapsed="false">
      <c r="A33" s="19" t="s">
        <v>218</v>
      </c>
    </row>
    <row r="34" customFormat="false" ht="30" hidden="false" customHeight="true" outlineLevel="0" collapsed="false">
      <c r="A34" s="3"/>
      <c r="B34" s="3" t="s">
        <v>130</v>
      </c>
      <c r="C34" s="3" t="s">
        <v>219</v>
      </c>
      <c r="D34" s="3" t="s">
        <v>220</v>
      </c>
      <c r="E34" s="3" t="s">
        <v>221</v>
      </c>
    </row>
    <row r="35" customFormat="false" ht="15" hidden="false" customHeight="false" outlineLevel="0" collapsed="false">
      <c r="A35" s="20"/>
      <c r="B35" s="21" t="s">
        <v>222</v>
      </c>
      <c r="C35" s="22" t="n">
        <v>0</v>
      </c>
      <c r="D35" s="22" t="n">
        <f aca="false">SUMIF($B$5:$B$31,"Core (all staff)",$E$5:$E$31)/60</f>
        <v>3.91666666666667</v>
      </c>
      <c r="E35" s="22" t="n">
        <f aca="false">C35+D35</f>
        <v>3.91666666666667</v>
      </c>
    </row>
    <row r="36" customFormat="false" ht="15" hidden="false" customHeight="false" outlineLevel="0" collapsed="false">
      <c r="A36" s="20"/>
      <c r="B36" s="21" t="s">
        <v>173</v>
      </c>
      <c r="C36" s="22" t="n">
        <f aca="false">SUMIF($B$5:$B$31,"IT and Technical",$E$5:$E$31)/60</f>
        <v>12.5</v>
      </c>
      <c r="D36" s="22" t="n">
        <f aca="false">SUMIF($B$5:$B$31,"Core (all staff)",$E$5:$E$31)/60</f>
        <v>3.91666666666667</v>
      </c>
      <c r="E36" s="22" t="n">
        <f aca="false">C36+D36</f>
        <v>16.4166666666667</v>
      </c>
    </row>
    <row r="37" customFormat="false" ht="15" hidden="false" customHeight="false" outlineLevel="0" collapsed="false">
      <c r="A37" s="20"/>
      <c r="B37" s="21" t="s">
        <v>191</v>
      </c>
      <c r="C37" s="22" t="n">
        <f aca="false">SUMIF($B$5:$B$31,"Management and Executives",$E$5:$E$31)/60</f>
        <v>6.08333333333333</v>
      </c>
      <c r="D37" s="22" t="n">
        <f aca="false">SUMIF($B$5:$B$31,"Core (all staff)",$E$5:$E$31)/60</f>
        <v>3.91666666666667</v>
      </c>
      <c r="E37" s="22" t="n">
        <f aca="false">C37+D37</f>
        <v>10</v>
      </c>
    </row>
    <row r="38" customFormat="false" ht="15" hidden="false" customHeight="false" outlineLevel="0" collapsed="false">
      <c r="A38" s="20"/>
      <c r="B38" s="21" t="s">
        <v>205</v>
      </c>
      <c r="C38" s="22" t="n">
        <f aca="false">SUMIF($B$5:$B$31,"Customer-facing",$E$5:$E$31)/60</f>
        <v>2.66666666666667</v>
      </c>
      <c r="D38" s="22" t="n">
        <f aca="false">SUMIF($B$5:$B$31,"Core (all staff)",$E$5:$E$31)/60</f>
        <v>3.91666666666667</v>
      </c>
      <c r="E38" s="22" t="n">
        <f aca="false">C38+D38</f>
        <v>6.58333333333333</v>
      </c>
    </row>
    <row r="40" customFormat="false" ht="15" hidden="false" customHeight="false" outlineLevel="0" collapsed="false">
      <c r="B40" s="1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16" min="5" style="0" width="8"/>
  </cols>
  <sheetData>
    <row r="1" customFormat="false" ht="17.35" hidden="false" customHeight="false" outlineLevel="0" collapsed="false">
      <c r="A1" s="12" t="s">
        <v>224</v>
      </c>
    </row>
    <row r="2" customFormat="false" ht="39.75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9" t="s">
        <v>226</v>
      </c>
    </row>
    <row r="5" customFormat="false" ht="30" hidden="false" customHeight="true" outlineLevel="0" collapsed="false">
      <c r="A5" s="3" t="s">
        <v>227</v>
      </c>
      <c r="B5" s="3" t="s">
        <v>228</v>
      </c>
      <c r="C5" s="3" t="s">
        <v>229</v>
      </c>
      <c r="D5" s="3" t="s">
        <v>230</v>
      </c>
      <c r="E5" s="3" t="s">
        <v>134</v>
      </c>
      <c r="F5" s="3" t="s">
        <v>135</v>
      </c>
      <c r="G5" s="3" t="s">
        <v>136</v>
      </c>
      <c r="H5" s="3" t="s">
        <v>137</v>
      </c>
      <c r="I5" s="3" t="s">
        <v>51</v>
      </c>
      <c r="J5" s="3" t="s">
        <v>138</v>
      </c>
      <c r="K5" s="3" t="s">
        <v>139</v>
      </c>
      <c r="L5" s="3" t="s">
        <v>140</v>
      </c>
      <c r="M5" s="3" t="s">
        <v>141</v>
      </c>
      <c r="N5" s="3" t="s">
        <v>142</v>
      </c>
      <c r="O5" s="3" t="s">
        <v>143</v>
      </c>
      <c r="P5" s="3" t="s">
        <v>144</v>
      </c>
    </row>
    <row r="6" customFormat="false" ht="27.75" hidden="false" customHeight="true" outlineLevel="0" collapsed="false">
      <c r="A6" s="23" t="s">
        <v>231</v>
      </c>
      <c r="B6" s="24" t="s">
        <v>232</v>
      </c>
      <c r="C6" s="24" t="s">
        <v>233</v>
      </c>
      <c r="D6" s="25" t="n">
        <v>0.34</v>
      </c>
      <c r="E6" s="26"/>
      <c r="F6" s="27" t="n">
        <v>0.28</v>
      </c>
      <c r="G6" s="26"/>
      <c r="H6" s="27" t="n">
        <v>0.2</v>
      </c>
      <c r="I6" s="26"/>
      <c r="J6" s="27" t="n">
        <v>0.14</v>
      </c>
      <c r="K6" s="26"/>
      <c r="L6" s="27" t="n">
        <v>0.1</v>
      </c>
      <c r="M6" s="26"/>
      <c r="N6" s="27" t="n">
        <v>0.07</v>
      </c>
      <c r="O6" s="26"/>
      <c r="P6" s="27" t="n">
        <v>0.05</v>
      </c>
    </row>
    <row r="7" customFormat="false" ht="27.75" hidden="false" customHeight="true" outlineLevel="0" collapsed="false">
      <c r="A7" s="23" t="s">
        <v>234</v>
      </c>
      <c r="B7" s="24" t="s">
        <v>232</v>
      </c>
      <c r="C7" s="24" t="s">
        <v>233</v>
      </c>
      <c r="D7" s="25" t="n">
        <v>0.18</v>
      </c>
      <c r="E7" s="26"/>
      <c r="F7" s="27" t="n">
        <v>0.12</v>
      </c>
      <c r="G7" s="26"/>
      <c r="H7" s="27" t="n">
        <v>0.08</v>
      </c>
      <c r="I7" s="26"/>
      <c r="J7" s="27" t="n">
        <v>0.05</v>
      </c>
      <c r="K7" s="26"/>
      <c r="L7" s="27" t="n">
        <v>0.03</v>
      </c>
      <c r="M7" s="26"/>
      <c r="N7" s="27" t="n">
        <v>0.02</v>
      </c>
      <c r="O7" s="26"/>
      <c r="P7" s="27" t="n">
        <v>0.01</v>
      </c>
    </row>
    <row r="8" customFormat="false" ht="27.75" hidden="false" customHeight="true" outlineLevel="0" collapsed="false">
      <c r="A8" s="23" t="s">
        <v>235</v>
      </c>
      <c r="B8" s="24" t="s">
        <v>236</v>
      </c>
      <c r="C8" s="24" t="s">
        <v>233</v>
      </c>
      <c r="D8" s="25" t="s">
        <v>237</v>
      </c>
      <c r="E8" s="26"/>
      <c r="F8" s="27" t="n">
        <v>0.2</v>
      </c>
      <c r="G8" s="26"/>
      <c r="H8" s="27" t="n">
        <v>0.35</v>
      </c>
      <c r="I8" s="26"/>
      <c r="J8" s="27" t="n">
        <v>0.45</v>
      </c>
      <c r="K8" s="26"/>
      <c r="L8" s="27" t="n">
        <v>0.55</v>
      </c>
      <c r="M8" s="26"/>
      <c r="N8" s="27" t="n">
        <v>0.65</v>
      </c>
      <c r="O8" s="26"/>
      <c r="P8" s="27" t="n">
        <v>0.7</v>
      </c>
    </row>
    <row r="9" customFormat="false" ht="27.75" hidden="false" customHeight="true" outlineLevel="0" collapsed="false">
      <c r="A9" s="23" t="s">
        <v>238</v>
      </c>
      <c r="B9" s="24" t="s">
        <v>232</v>
      </c>
      <c r="C9" s="24" t="s">
        <v>233</v>
      </c>
      <c r="D9" s="25" t="s">
        <v>237</v>
      </c>
      <c r="E9" s="26"/>
      <c r="F9" s="26"/>
      <c r="G9" s="26"/>
      <c r="H9" s="27" t="n">
        <v>0.1</v>
      </c>
      <c r="I9" s="26"/>
      <c r="J9" s="27" t="n">
        <v>0.07</v>
      </c>
      <c r="K9" s="26"/>
      <c r="L9" s="27" t="n">
        <v>0.05</v>
      </c>
      <c r="M9" s="26"/>
      <c r="N9" s="27" t="n">
        <v>0.03</v>
      </c>
      <c r="O9" s="26"/>
      <c r="P9" s="27" t="n">
        <v>0.02</v>
      </c>
    </row>
    <row r="10" customFormat="false" ht="27.75" hidden="false" customHeight="true" outlineLevel="0" collapsed="false">
      <c r="A10" s="23" t="s">
        <v>239</v>
      </c>
      <c r="B10" s="24" t="s">
        <v>232</v>
      </c>
      <c r="C10" s="24" t="s">
        <v>240</v>
      </c>
      <c r="D10" s="28" t="s">
        <v>237</v>
      </c>
      <c r="E10" s="29"/>
      <c r="F10" s="30" t="n">
        <v>90</v>
      </c>
      <c r="G10" s="29"/>
      <c r="H10" s="30" t="n">
        <v>75</v>
      </c>
      <c r="I10" s="29"/>
      <c r="J10" s="30" t="n">
        <v>60</v>
      </c>
      <c r="K10" s="29"/>
      <c r="L10" s="30" t="n">
        <v>45</v>
      </c>
      <c r="M10" s="29"/>
      <c r="N10" s="30" t="n">
        <v>40</v>
      </c>
      <c r="O10" s="29"/>
      <c r="P10" s="30" t="n">
        <v>30</v>
      </c>
    </row>
    <row r="11" customFormat="false" ht="27.75" hidden="false" customHeight="true" outlineLevel="0" collapsed="false">
      <c r="A11" s="23" t="s">
        <v>241</v>
      </c>
      <c r="B11" s="24" t="s">
        <v>236</v>
      </c>
      <c r="C11" s="24" t="s">
        <v>233</v>
      </c>
      <c r="D11" s="25" t="s">
        <v>237</v>
      </c>
      <c r="E11" s="27" t="n">
        <v>0.9</v>
      </c>
      <c r="F11" s="27" t="n">
        <v>0.95</v>
      </c>
      <c r="G11" s="27" t="n">
        <v>0.95</v>
      </c>
      <c r="H11" s="27" t="n">
        <v>0.95</v>
      </c>
      <c r="I11" s="27" t="n">
        <v>0.95</v>
      </c>
      <c r="J11" s="27" t="n">
        <v>0.95</v>
      </c>
      <c r="K11" s="27" t="n">
        <v>0.95</v>
      </c>
      <c r="L11" s="27" t="n">
        <v>0.95</v>
      </c>
      <c r="M11" s="27" t="n">
        <v>0.95</v>
      </c>
      <c r="N11" s="27" t="n">
        <v>0.95</v>
      </c>
      <c r="O11" s="27" t="n">
        <v>0.95</v>
      </c>
      <c r="P11" s="27" t="n">
        <v>0.98</v>
      </c>
    </row>
    <row r="12" customFormat="false" ht="27.75" hidden="false" customHeight="true" outlineLevel="0" collapsed="false">
      <c r="A12" s="23" t="s">
        <v>242</v>
      </c>
      <c r="B12" s="24" t="s">
        <v>236</v>
      </c>
      <c r="C12" s="24" t="s">
        <v>233</v>
      </c>
      <c r="D12" s="25" t="s">
        <v>237</v>
      </c>
      <c r="E12" s="26"/>
      <c r="F12" s="26"/>
      <c r="G12" s="27" t="n">
        <v>0.8</v>
      </c>
      <c r="H12" s="27" t="n">
        <v>0.85</v>
      </c>
      <c r="I12" s="26"/>
      <c r="J12" s="27" t="n">
        <v>0.85</v>
      </c>
      <c r="K12" s="26"/>
      <c r="L12" s="26"/>
      <c r="M12" s="27" t="n">
        <v>0.85</v>
      </c>
      <c r="N12" s="27" t="n">
        <v>0.85</v>
      </c>
      <c r="O12" s="26"/>
      <c r="P12" s="26"/>
    </row>
    <row r="13" customFormat="false" ht="27.75" hidden="false" customHeight="true" outlineLevel="0" collapsed="false">
      <c r="A13" s="23" t="s">
        <v>243</v>
      </c>
      <c r="B13" s="24" t="s">
        <v>236</v>
      </c>
      <c r="C13" s="24" t="s">
        <v>233</v>
      </c>
      <c r="D13" s="25" t="s">
        <v>237</v>
      </c>
      <c r="E13" s="27" t="n">
        <v>1</v>
      </c>
      <c r="F13" s="27" t="n">
        <v>1</v>
      </c>
      <c r="G13" s="27" t="n">
        <v>1</v>
      </c>
      <c r="H13" s="27" t="n">
        <v>1</v>
      </c>
      <c r="I13" s="27" t="n">
        <v>1</v>
      </c>
      <c r="J13" s="27" t="n">
        <v>1</v>
      </c>
      <c r="K13" s="27" t="n">
        <v>1</v>
      </c>
      <c r="L13" s="27" t="n">
        <v>1</v>
      </c>
      <c r="M13" s="27" t="n">
        <v>1</v>
      </c>
      <c r="N13" s="27" t="n">
        <v>1</v>
      </c>
      <c r="O13" s="27" t="n">
        <v>1</v>
      </c>
      <c r="P13" s="27" t="n">
        <v>1</v>
      </c>
    </row>
    <row r="16" customFormat="false" ht="15" hidden="false" customHeight="false" outlineLevel="0" collapsed="false">
      <c r="A16" s="19" t="s">
        <v>244</v>
      </c>
    </row>
    <row r="17" customFormat="false" ht="30" hidden="false" customHeight="true" outlineLevel="0" collapsed="false">
      <c r="A17" s="3" t="s">
        <v>227</v>
      </c>
      <c r="B17" s="3" t="s">
        <v>228</v>
      </c>
      <c r="C17" s="3" t="s">
        <v>229</v>
      </c>
      <c r="D17" s="3" t="s">
        <v>230</v>
      </c>
      <c r="E17" s="3" t="s">
        <v>134</v>
      </c>
      <c r="F17" s="3" t="s">
        <v>135</v>
      </c>
      <c r="G17" s="3" t="s">
        <v>136</v>
      </c>
      <c r="H17" s="3" t="s">
        <v>137</v>
      </c>
      <c r="I17" s="3" t="s">
        <v>51</v>
      </c>
      <c r="J17" s="3" t="s">
        <v>138</v>
      </c>
      <c r="K17" s="3" t="s">
        <v>139</v>
      </c>
      <c r="L17" s="3" t="s">
        <v>140</v>
      </c>
      <c r="M17" s="3" t="s">
        <v>141</v>
      </c>
      <c r="N17" s="3" t="s">
        <v>142</v>
      </c>
      <c r="O17" s="3" t="s">
        <v>143</v>
      </c>
      <c r="P17" s="3" t="s">
        <v>144</v>
      </c>
    </row>
    <row r="18" customFormat="false" ht="27.75" hidden="false" customHeight="true" outlineLevel="0" collapsed="false">
      <c r="A18" s="23" t="s">
        <v>231</v>
      </c>
      <c r="B18" s="24" t="s">
        <v>232</v>
      </c>
      <c r="C18" s="24" t="s">
        <v>233</v>
      </c>
      <c r="D18" s="26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customFormat="false" ht="27.75" hidden="false" customHeight="true" outlineLevel="0" collapsed="false">
      <c r="A19" s="23" t="s">
        <v>234</v>
      </c>
      <c r="B19" s="24" t="s">
        <v>232</v>
      </c>
      <c r="C19" s="24" t="s">
        <v>233</v>
      </c>
      <c r="D19" s="26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customFormat="false" ht="27.75" hidden="false" customHeight="true" outlineLevel="0" collapsed="false">
      <c r="A20" s="23" t="s">
        <v>235</v>
      </c>
      <c r="B20" s="24" t="s">
        <v>236</v>
      </c>
      <c r="C20" s="24" t="s">
        <v>233</v>
      </c>
      <c r="D20" s="26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customFormat="false" ht="27.75" hidden="false" customHeight="true" outlineLevel="0" collapsed="false">
      <c r="A21" s="23" t="s">
        <v>238</v>
      </c>
      <c r="B21" s="24" t="s">
        <v>232</v>
      </c>
      <c r="C21" s="24" t="s">
        <v>233</v>
      </c>
      <c r="D21" s="26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</row>
    <row r="22" customFormat="false" ht="27.75" hidden="false" customHeight="true" outlineLevel="0" collapsed="false">
      <c r="A22" s="23" t="s">
        <v>239</v>
      </c>
      <c r="B22" s="24" t="s">
        <v>232</v>
      </c>
      <c r="C22" s="24" t="s">
        <v>240</v>
      </c>
      <c r="D22" s="29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customFormat="false" ht="27.75" hidden="false" customHeight="true" outlineLevel="0" collapsed="false">
      <c r="A23" s="23" t="s">
        <v>241</v>
      </c>
      <c r="B23" s="24" t="s">
        <v>236</v>
      </c>
      <c r="C23" s="24" t="s">
        <v>233</v>
      </c>
      <c r="D23" s="26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</row>
    <row r="24" customFormat="false" ht="27.75" hidden="false" customHeight="true" outlineLevel="0" collapsed="false">
      <c r="A24" s="23" t="s">
        <v>242</v>
      </c>
      <c r="B24" s="24" t="s">
        <v>236</v>
      </c>
      <c r="C24" s="24" t="s">
        <v>233</v>
      </c>
      <c r="D24" s="26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</row>
    <row r="25" customFormat="false" ht="27.75" hidden="false" customHeight="true" outlineLevel="0" collapsed="false">
      <c r="A25" s="23" t="s">
        <v>243</v>
      </c>
      <c r="B25" s="24" t="s">
        <v>236</v>
      </c>
      <c r="C25" s="24" t="s">
        <v>233</v>
      </c>
      <c r="D25" s="26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  <row r="28" customFormat="false" ht="15" hidden="false" customHeight="false" outlineLevel="0" collapsed="false">
      <c r="A28" s="19" t="s">
        <v>245</v>
      </c>
    </row>
    <row r="29" customFormat="false" ht="30" hidden="false" customHeight="true" outlineLevel="0" collapsed="false">
      <c r="A29" s="3" t="s">
        <v>227</v>
      </c>
      <c r="B29" s="3" t="s">
        <v>228</v>
      </c>
      <c r="C29" s="3" t="s">
        <v>229</v>
      </c>
      <c r="D29" s="3" t="s">
        <v>230</v>
      </c>
      <c r="E29" s="3" t="s">
        <v>134</v>
      </c>
      <c r="F29" s="3" t="s">
        <v>135</v>
      </c>
      <c r="G29" s="3" t="s">
        <v>136</v>
      </c>
      <c r="H29" s="3" t="s">
        <v>137</v>
      </c>
      <c r="I29" s="3" t="s">
        <v>51</v>
      </c>
      <c r="J29" s="3" t="s">
        <v>138</v>
      </c>
      <c r="K29" s="3" t="s">
        <v>139</v>
      </c>
      <c r="L29" s="3" t="s">
        <v>140</v>
      </c>
      <c r="M29" s="3" t="s">
        <v>141</v>
      </c>
      <c r="N29" s="3" t="s">
        <v>142</v>
      </c>
      <c r="O29" s="3" t="s">
        <v>143</v>
      </c>
      <c r="P29" s="3" t="s">
        <v>144</v>
      </c>
    </row>
    <row r="30" customFormat="false" ht="27.75" hidden="false" customHeight="true" outlineLevel="0" collapsed="false">
      <c r="A30" s="23" t="s">
        <v>231</v>
      </c>
      <c r="B30" s="24" t="s">
        <v>232</v>
      </c>
      <c r="C30" s="24" t="s">
        <v>233</v>
      </c>
      <c r="D30" s="26"/>
      <c r="E30" s="33" t="str">
        <f aca="false">IF(OR(E18="",E6=""),"",IF($B30="Lower",IF(E18&lt;=E6,"Green",IF(E18&lt;=E6*1.25,"Amber","Red")),IF(E18&gt;=E6,"Green",IF(E18&gt;=E6*0.9,"Amber","Red"))))</f>
        <v/>
      </c>
      <c r="F30" s="33" t="str">
        <f aca="false">IF(OR(F18="",F6=""),"",IF($B30="Lower",IF(F18&lt;=F6,"Green",IF(F18&lt;=F6*1.25,"Amber","Red")),IF(F18&gt;=F6,"Green",IF(F18&gt;=F6*0.9,"Amber","Red"))))</f>
        <v/>
      </c>
      <c r="G30" s="33" t="str">
        <f aca="false">IF(OR(G18="",G6=""),"",IF($B30="Lower",IF(G18&lt;=G6,"Green",IF(G18&lt;=G6*1.25,"Amber","Red")),IF(G18&gt;=G6,"Green",IF(G18&gt;=G6*0.9,"Amber","Red"))))</f>
        <v/>
      </c>
      <c r="H30" s="33" t="str">
        <f aca="false">IF(OR(H18="",H6=""),"",IF($B30="Lower",IF(H18&lt;=H6,"Green",IF(H18&lt;=H6*1.25,"Amber","Red")),IF(H18&gt;=H6,"Green",IF(H18&gt;=H6*0.9,"Amber","Red"))))</f>
        <v/>
      </c>
      <c r="I30" s="33" t="str">
        <f aca="false">IF(OR(I18="",I6=""),"",IF($B30="Lower",IF(I18&lt;=I6,"Green",IF(I18&lt;=I6*1.25,"Amber","Red")),IF(I18&gt;=I6,"Green",IF(I18&gt;=I6*0.9,"Amber","Red"))))</f>
        <v/>
      </c>
      <c r="J30" s="33" t="str">
        <f aca="false">IF(OR(J18="",J6=""),"",IF($B30="Lower",IF(J18&lt;=J6,"Green",IF(J18&lt;=J6*1.25,"Amber","Red")),IF(J18&gt;=J6,"Green",IF(J18&gt;=J6*0.9,"Amber","Red"))))</f>
        <v/>
      </c>
      <c r="K30" s="33" t="str">
        <f aca="false">IF(OR(K18="",K6=""),"",IF($B30="Lower",IF(K18&lt;=K6,"Green",IF(K18&lt;=K6*1.25,"Amber","Red")),IF(K18&gt;=K6,"Green",IF(K18&gt;=K6*0.9,"Amber","Red"))))</f>
        <v/>
      </c>
      <c r="L30" s="33" t="str">
        <f aca="false">IF(OR(L18="",L6=""),"",IF($B30="Lower",IF(L18&lt;=L6,"Green",IF(L18&lt;=L6*1.25,"Amber","Red")),IF(L18&gt;=L6,"Green",IF(L18&gt;=L6*0.9,"Amber","Red"))))</f>
        <v/>
      </c>
      <c r="M30" s="33" t="str">
        <f aca="false">IF(OR(M18="",M6=""),"",IF($B30="Lower",IF(M18&lt;=M6,"Green",IF(M18&lt;=M6*1.25,"Amber","Red")),IF(M18&gt;=M6,"Green",IF(M18&gt;=M6*0.9,"Amber","Red"))))</f>
        <v/>
      </c>
      <c r="N30" s="33" t="str">
        <f aca="false">IF(OR(N18="",N6=""),"",IF($B30="Lower",IF(N18&lt;=N6,"Green",IF(N18&lt;=N6*1.25,"Amber","Red")),IF(N18&gt;=N6,"Green",IF(N18&gt;=N6*0.9,"Amber","Red"))))</f>
        <v/>
      </c>
      <c r="O30" s="33" t="str">
        <f aca="false">IF(OR(O18="",O6=""),"",IF($B30="Lower",IF(O18&lt;=O6,"Green",IF(O18&lt;=O6*1.25,"Amber","Red")),IF(O18&gt;=O6,"Green",IF(O18&gt;=O6*0.9,"Amber","Red"))))</f>
        <v/>
      </c>
      <c r="P30" s="33" t="str">
        <f aca="false">IF(OR(P18="",P6=""),"",IF($B30="Lower",IF(P18&lt;=P6,"Green",IF(P18&lt;=P6*1.25,"Amber","Red")),IF(P18&gt;=P6,"Green",IF(P18&gt;=P6*0.9,"Amber","Red"))))</f>
        <v/>
      </c>
    </row>
    <row r="31" customFormat="false" ht="27.75" hidden="false" customHeight="true" outlineLevel="0" collapsed="false">
      <c r="A31" s="23" t="s">
        <v>234</v>
      </c>
      <c r="B31" s="24" t="s">
        <v>232</v>
      </c>
      <c r="C31" s="24" t="s">
        <v>233</v>
      </c>
      <c r="D31" s="26"/>
      <c r="E31" s="33" t="str">
        <f aca="false">IF(OR(E19="",E7=""),"",IF($B31="Lower",IF(E19&lt;=E7,"Green",IF(E19&lt;=E7*1.25,"Amber","Red")),IF(E19&gt;=E7,"Green",IF(E19&gt;=E7*0.9,"Amber","Red"))))</f>
        <v/>
      </c>
      <c r="F31" s="33" t="str">
        <f aca="false">IF(OR(F19="",F7=""),"",IF($B31="Lower",IF(F19&lt;=F7,"Green",IF(F19&lt;=F7*1.25,"Amber","Red")),IF(F19&gt;=F7,"Green",IF(F19&gt;=F7*0.9,"Amber","Red"))))</f>
        <v/>
      </c>
      <c r="G31" s="33" t="str">
        <f aca="false">IF(OR(G19="",G7=""),"",IF($B31="Lower",IF(G19&lt;=G7,"Green",IF(G19&lt;=G7*1.25,"Amber","Red")),IF(G19&gt;=G7,"Green",IF(G19&gt;=G7*0.9,"Amber","Red"))))</f>
        <v/>
      </c>
      <c r="H31" s="33" t="str">
        <f aca="false">IF(OR(H19="",H7=""),"",IF($B31="Lower",IF(H19&lt;=H7,"Green",IF(H19&lt;=H7*1.25,"Amber","Red")),IF(H19&gt;=H7,"Green",IF(H19&gt;=H7*0.9,"Amber","Red"))))</f>
        <v/>
      </c>
      <c r="I31" s="33" t="str">
        <f aca="false">IF(OR(I19="",I7=""),"",IF($B31="Lower",IF(I19&lt;=I7,"Green",IF(I19&lt;=I7*1.25,"Amber","Red")),IF(I19&gt;=I7,"Green",IF(I19&gt;=I7*0.9,"Amber","Red"))))</f>
        <v/>
      </c>
      <c r="J31" s="33" t="str">
        <f aca="false">IF(OR(J19="",J7=""),"",IF($B31="Lower",IF(J19&lt;=J7,"Green",IF(J19&lt;=J7*1.25,"Amber","Red")),IF(J19&gt;=J7,"Green",IF(J19&gt;=J7*0.9,"Amber","Red"))))</f>
        <v/>
      </c>
      <c r="K31" s="33" t="str">
        <f aca="false">IF(OR(K19="",K7=""),"",IF($B31="Lower",IF(K19&lt;=K7,"Green",IF(K19&lt;=K7*1.25,"Amber","Red")),IF(K19&gt;=K7,"Green",IF(K19&gt;=K7*0.9,"Amber","Red"))))</f>
        <v/>
      </c>
      <c r="L31" s="33" t="str">
        <f aca="false">IF(OR(L19="",L7=""),"",IF($B31="Lower",IF(L19&lt;=L7,"Green",IF(L19&lt;=L7*1.25,"Amber","Red")),IF(L19&gt;=L7,"Green",IF(L19&gt;=L7*0.9,"Amber","Red"))))</f>
        <v/>
      </c>
      <c r="M31" s="33" t="str">
        <f aca="false">IF(OR(M19="",M7=""),"",IF($B31="Lower",IF(M19&lt;=M7,"Green",IF(M19&lt;=M7*1.25,"Amber","Red")),IF(M19&gt;=M7,"Green",IF(M19&gt;=M7*0.9,"Amber","Red"))))</f>
        <v/>
      </c>
      <c r="N31" s="33" t="str">
        <f aca="false">IF(OR(N19="",N7=""),"",IF($B31="Lower",IF(N19&lt;=N7,"Green",IF(N19&lt;=N7*1.25,"Amber","Red")),IF(N19&gt;=N7,"Green",IF(N19&gt;=N7*0.9,"Amber","Red"))))</f>
        <v/>
      </c>
      <c r="O31" s="33" t="str">
        <f aca="false">IF(OR(O19="",O7=""),"",IF($B31="Lower",IF(O19&lt;=O7,"Green",IF(O19&lt;=O7*1.25,"Amber","Red")),IF(O19&gt;=O7,"Green",IF(O19&gt;=O7*0.9,"Amber","Red"))))</f>
        <v/>
      </c>
      <c r="P31" s="33" t="str">
        <f aca="false">IF(OR(P19="",P7=""),"",IF($B31="Lower",IF(P19&lt;=P7,"Green",IF(P19&lt;=P7*1.25,"Amber","Red")),IF(P19&gt;=P7,"Green",IF(P19&gt;=P7*0.9,"Amber","Red"))))</f>
        <v/>
      </c>
    </row>
    <row r="32" customFormat="false" ht="27.75" hidden="false" customHeight="true" outlineLevel="0" collapsed="false">
      <c r="A32" s="23" t="s">
        <v>235</v>
      </c>
      <c r="B32" s="24" t="s">
        <v>236</v>
      </c>
      <c r="C32" s="24" t="s">
        <v>233</v>
      </c>
      <c r="D32" s="26"/>
      <c r="E32" s="33" t="str">
        <f aca="false">IF(OR(E20="",E8=""),"",IF($B32="Lower",IF(E20&lt;=E8,"Green",IF(E20&lt;=E8*1.25,"Amber","Red")),IF(E20&gt;=E8,"Green",IF(E20&gt;=E8*0.9,"Amber","Red"))))</f>
        <v/>
      </c>
      <c r="F32" s="33" t="str">
        <f aca="false">IF(OR(F20="",F8=""),"",IF($B32="Lower",IF(F20&lt;=F8,"Green",IF(F20&lt;=F8*1.25,"Amber","Red")),IF(F20&gt;=F8,"Green",IF(F20&gt;=F8*0.9,"Amber","Red"))))</f>
        <v/>
      </c>
      <c r="G32" s="33" t="str">
        <f aca="false">IF(OR(G20="",G8=""),"",IF($B32="Lower",IF(G20&lt;=G8,"Green",IF(G20&lt;=G8*1.25,"Amber","Red")),IF(G20&gt;=G8,"Green",IF(G20&gt;=G8*0.9,"Amber","Red"))))</f>
        <v/>
      </c>
      <c r="H32" s="33" t="str">
        <f aca="false">IF(OR(H20="",H8=""),"",IF($B32="Lower",IF(H20&lt;=H8,"Green",IF(H20&lt;=H8*1.25,"Amber","Red")),IF(H20&gt;=H8,"Green",IF(H20&gt;=H8*0.9,"Amber","Red"))))</f>
        <v/>
      </c>
      <c r="I32" s="33" t="str">
        <f aca="false">IF(OR(I20="",I8=""),"",IF($B32="Lower",IF(I20&lt;=I8,"Green",IF(I20&lt;=I8*1.25,"Amber","Red")),IF(I20&gt;=I8,"Green",IF(I20&gt;=I8*0.9,"Amber","Red"))))</f>
        <v/>
      </c>
      <c r="J32" s="33" t="str">
        <f aca="false">IF(OR(J20="",J8=""),"",IF($B32="Lower",IF(J20&lt;=J8,"Green",IF(J20&lt;=J8*1.25,"Amber","Red")),IF(J20&gt;=J8,"Green",IF(J20&gt;=J8*0.9,"Amber","Red"))))</f>
        <v/>
      </c>
      <c r="K32" s="33" t="str">
        <f aca="false">IF(OR(K20="",K8=""),"",IF($B32="Lower",IF(K20&lt;=K8,"Green",IF(K20&lt;=K8*1.25,"Amber","Red")),IF(K20&gt;=K8,"Green",IF(K20&gt;=K8*0.9,"Amber","Red"))))</f>
        <v/>
      </c>
      <c r="L32" s="33" t="str">
        <f aca="false">IF(OR(L20="",L8=""),"",IF($B32="Lower",IF(L20&lt;=L8,"Green",IF(L20&lt;=L8*1.25,"Amber","Red")),IF(L20&gt;=L8,"Green",IF(L20&gt;=L8*0.9,"Amber","Red"))))</f>
        <v/>
      </c>
      <c r="M32" s="33" t="str">
        <f aca="false">IF(OR(M20="",M8=""),"",IF($B32="Lower",IF(M20&lt;=M8,"Green",IF(M20&lt;=M8*1.25,"Amber","Red")),IF(M20&gt;=M8,"Green",IF(M20&gt;=M8*0.9,"Amber","Red"))))</f>
        <v/>
      </c>
      <c r="N32" s="33" t="str">
        <f aca="false">IF(OR(N20="",N8=""),"",IF($B32="Lower",IF(N20&lt;=N8,"Green",IF(N20&lt;=N8*1.25,"Amber","Red")),IF(N20&gt;=N8,"Green",IF(N20&gt;=N8*0.9,"Amber","Red"))))</f>
        <v/>
      </c>
      <c r="O32" s="33" t="str">
        <f aca="false">IF(OR(O20="",O8=""),"",IF($B32="Lower",IF(O20&lt;=O8,"Green",IF(O20&lt;=O8*1.25,"Amber","Red")),IF(O20&gt;=O8,"Green",IF(O20&gt;=O8*0.9,"Amber","Red"))))</f>
        <v/>
      </c>
      <c r="P32" s="33" t="str">
        <f aca="false">IF(OR(P20="",P8=""),"",IF($B32="Lower",IF(P20&lt;=P8,"Green",IF(P20&lt;=P8*1.25,"Amber","Red")),IF(P20&gt;=P8,"Green",IF(P20&gt;=P8*0.9,"Amber","Red"))))</f>
        <v/>
      </c>
    </row>
    <row r="33" customFormat="false" ht="27.75" hidden="false" customHeight="true" outlineLevel="0" collapsed="false">
      <c r="A33" s="23" t="s">
        <v>238</v>
      </c>
      <c r="B33" s="24" t="s">
        <v>232</v>
      </c>
      <c r="C33" s="24" t="s">
        <v>233</v>
      </c>
      <c r="D33" s="26"/>
      <c r="E33" s="33" t="str">
        <f aca="false">IF(OR(E21="",E9=""),"",IF($B33="Lower",IF(E21&lt;=E9,"Green",IF(E21&lt;=E9*1.25,"Amber","Red")),IF(E21&gt;=E9,"Green",IF(E21&gt;=E9*0.9,"Amber","Red"))))</f>
        <v/>
      </c>
      <c r="F33" s="33" t="str">
        <f aca="false">IF(OR(F21="",F9=""),"",IF($B33="Lower",IF(F21&lt;=F9,"Green",IF(F21&lt;=F9*1.25,"Amber","Red")),IF(F21&gt;=F9,"Green",IF(F21&gt;=F9*0.9,"Amber","Red"))))</f>
        <v/>
      </c>
      <c r="G33" s="33" t="str">
        <f aca="false">IF(OR(G21="",G9=""),"",IF($B33="Lower",IF(G21&lt;=G9,"Green",IF(G21&lt;=G9*1.25,"Amber","Red")),IF(G21&gt;=G9,"Green",IF(G21&gt;=G9*0.9,"Amber","Red"))))</f>
        <v/>
      </c>
      <c r="H33" s="33" t="str">
        <f aca="false">IF(OR(H21="",H9=""),"",IF($B33="Lower",IF(H21&lt;=H9,"Green",IF(H21&lt;=H9*1.25,"Amber","Red")),IF(H21&gt;=H9,"Green",IF(H21&gt;=H9*0.9,"Amber","Red"))))</f>
        <v/>
      </c>
      <c r="I33" s="33" t="str">
        <f aca="false">IF(OR(I21="",I9=""),"",IF($B33="Lower",IF(I21&lt;=I9,"Green",IF(I21&lt;=I9*1.25,"Amber","Red")),IF(I21&gt;=I9,"Green",IF(I21&gt;=I9*0.9,"Amber","Red"))))</f>
        <v/>
      </c>
      <c r="J33" s="33" t="str">
        <f aca="false">IF(OR(J21="",J9=""),"",IF($B33="Lower",IF(J21&lt;=J9,"Green",IF(J21&lt;=J9*1.25,"Amber","Red")),IF(J21&gt;=J9,"Green",IF(J21&gt;=J9*0.9,"Amber","Red"))))</f>
        <v/>
      </c>
      <c r="K33" s="33" t="str">
        <f aca="false">IF(OR(K21="",K9=""),"",IF($B33="Lower",IF(K21&lt;=K9,"Green",IF(K21&lt;=K9*1.25,"Amber","Red")),IF(K21&gt;=K9,"Green",IF(K21&gt;=K9*0.9,"Amber","Red"))))</f>
        <v/>
      </c>
      <c r="L33" s="33" t="str">
        <f aca="false">IF(OR(L21="",L9=""),"",IF($B33="Lower",IF(L21&lt;=L9,"Green",IF(L21&lt;=L9*1.25,"Amber","Red")),IF(L21&gt;=L9,"Green",IF(L21&gt;=L9*0.9,"Amber","Red"))))</f>
        <v/>
      </c>
      <c r="M33" s="33" t="str">
        <f aca="false">IF(OR(M21="",M9=""),"",IF($B33="Lower",IF(M21&lt;=M9,"Green",IF(M21&lt;=M9*1.25,"Amber","Red")),IF(M21&gt;=M9,"Green",IF(M21&gt;=M9*0.9,"Amber","Red"))))</f>
        <v/>
      </c>
      <c r="N33" s="33" t="str">
        <f aca="false">IF(OR(N21="",N9=""),"",IF($B33="Lower",IF(N21&lt;=N9,"Green",IF(N21&lt;=N9*1.25,"Amber","Red")),IF(N21&gt;=N9,"Green",IF(N21&gt;=N9*0.9,"Amber","Red"))))</f>
        <v/>
      </c>
      <c r="O33" s="33" t="str">
        <f aca="false">IF(OR(O21="",O9=""),"",IF($B33="Lower",IF(O21&lt;=O9,"Green",IF(O21&lt;=O9*1.25,"Amber","Red")),IF(O21&gt;=O9,"Green",IF(O21&gt;=O9*0.9,"Amber","Red"))))</f>
        <v/>
      </c>
      <c r="P33" s="33" t="str">
        <f aca="false">IF(OR(P21="",P9=""),"",IF($B33="Lower",IF(P21&lt;=P9,"Green",IF(P21&lt;=P9*1.25,"Amber","Red")),IF(P21&gt;=P9,"Green",IF(P21&gt;=P9*0.9,"Amber","Red"))))</f>
        <v/>
      </c>
    </row>
    <row r="34" customFormat="false" ht="27.75" hidden="false" customHeight="true" outlineLevel="0" collapsed="false">
      <c r="A34" s="23" t="s">
        <v>239</v>
      </c>
      <c r="B34" s="24" t="s">
        <v>232</v>
      </c>
      <c r="C34" s="24" t="s">
        <v>240</v>
      </c>
      <c r="D34" s="29"/>
      <c r="E34" s="33" t="str">
        <f aca="false">IF(OR(E22="",E10=""),"",IF($B34="Lower",IF(E22&lt;=E10,"Green",IF(E22&lt;=E10*1.25,"Amber","Red")),IF(E22&gt;=E10,"Green",IF(E22&gt;=E10*0.9,"Amber","Red"))))</f>
        <v/>
      </c>
      <c r="F34" s="33" t="str">
        <f aca="false">IF(OR(F22="",F10=""),"",IF($B34="Lower",IF(F22&lt;=F10,"Green",IF(F22&lt;=F10*1.25,"Amber","Red")),IF(F22&gt;=F10,"Green",IF(F22&gt;=F10*0.9,"Amber","Red"))))</f>
        <v/>
      </c>
      <c r="G34" s="33" t="str">
        <f aca="false">IF(OR(G22="",G10=""),"",IF($B34="Lower",IF(G22&lt;=G10,"Green",IF(G22&lt;=G10*1.25,"Amber","Red")),IF(G22&gt;=G10,"Green",IF(G22&gt;=G10*0.9,"Amber","Red"))))</f>
        <v/>
      </c>
      <c r="H34" s="33" t="str">
        <f aca="false">IF(OR(H22="",H10=""),"",IF($B34="Lower",IF(H22&lt;=H10,"Green",IF(H22&lt;=H10*1.25,"Amber","Red")),IF(H22&gt;=H10,"Green",IF(H22&gt;=H10*0.9,"Amber","Red"))))</f>
        <v/>
      </c>
      <c r="I34" s="33" t="str">
        <f aca="false">IF(OR(I22="",I10=""),"",IF($B34="Lower",IF(I22&lt;=I10,"Green",IF(I22&lt;=I10*1.25,"Amber","Red")),IF(I22&gt;=I10,"Green",IF(I22&gt;=I10*0.9,"Amber","Red"))))</f>
        <v/>
      </c>
      <c r="J34" s="33" t="str">
        <f aca="false">IF(OR(J22="",J10=""),"",IF($B34="Lower",IF(J22&lt;=J10,"Green",IF(J22&lt;=J10*1.25,"Amber","Red")),IF(J22&gt;=J10,"Green",IF(J22&gt;=J10*0.9,"Amber","Red"))))</f>
        <v/>
      </c>
      <c r="K34" s="33" t="str">
        <f aca="false">IF(OR(K22="",K10=""),"",IF($B34="Lower",IF(K22&lt;=K10,"Green",IF(K22&lt;=K10*1.25,"Amber","Red")),IF(K22&gt;=K10,"Green",IF(K22&gt;=K10*0.9,"Amber","Red"))))</f>
        <v/>
      </c>
      <c r="L34" s="33" t="str">
        <f aca="false">IF(OR(L22="",L10=""),"",IF($B34="Lower",IF(L22&lt;=L10,"Green",IF(L22&lt;=L10*1.25,"Amber","Red")),IF(L22&gt;=L10,"Green",IF(L22&gt;=L10*0.9,"Amber","Red"))))</f>
        <v/>
      </c>
      <c r="M34" s="33" t="str">
        <f aca="false">IF(OR(M22="",M10=""),"",IF($B34="Lower",IF(M22&lt;=M10,"Green",IF(M22&lt;=M10*1.25,"Amber","Red")),IF(M22&gt;=M10,"Green",IF(M22&gt;=M10*0.9,"Amber","Red"))))</f>
        <v/>
      </c>
      <c r="N34" s="33" t="str">
        <f aca="false">IF(OR(N22="",N10=""),"",IF($B34="Lower",IF(N22&lt;=N10,"Green",IF(N22&lt;=N10*1.25,"Amber","Red")),IF(N22&gt;=N10,"Green",IF(N22&gt;=N10*0.9,"Amber","Red"))))</f>
        <v/>
      </c>
      <c r="O34" s="33" t="str">
        <f aca="false">IF(OR(O22="",O10=""),"",IF($B34="Lower",IF(O22&lt;=O10,"Green",IF(O22&lt;=O10*1.25,"Amber","Red")),IF(O22&gt;=O10,"Green",IF(O22&gt;=O10*0.9,"Amber","Red"))))</f>
        <v/>
      </c>
      <c r="P34" s="33" t="str">
        <f aca="false">IF(OR(P22="",P10=""),"",IF($B34="Lower",IF(P22&lt;=P10,"Green",IF(P22&lt;=P10*1.25,"Amber","Red")),IF(P22&gt;=P10,"Green",IF(P22&gt;=P10*0.9,"Amber","Red"))))</f>
        <v/>
      </c>
    </row>
    <row r="35" customFormat="false" ht="27.75" hidden="false" customHeight="true" outlineLevel="0" collapsed="false">
      <c r="A35" s="23" t="s">
        <v>241</v>
      </c>
      <c r="B35" s="24" t="s">
        <v>236</v>
      </c>
      <c r="C35" s="24" t="s">
        <v>233</v>
      </c>
      <c r="D35" s="26"/>
      <c r="E35" s="33" t="str">
        <f aca="false">IF(OR(E23="",E11=""),"",IF($B35="Lower",IF(E23&lt;=E11,"Green",IF(E23&lt;=E11*1.25,"Amber","Red")),IF(E23&gt;=E11,"Green",IF(E23&gt;=E11*0.9,"Amber","Red"))))</f>
        <v/>
      </c>
      <c r="F35" s="33" t="str">
        <f aca="false">IF(OR(F23="",F11=""),"",IF($B35="Lower",IF(F23&lt;=F11,"Green",IF(F23&lt;=F11*1.25,"Amber","Red")),IF(F23&gt;=F11,"Green",IF(F23&gt;=F11*0.9,"Amber","Red"))))</f>
        <v/>
      </c>
      <c r="G35" s="33" t="str">
        <f aca="false">IF(OR(G23="",G11=""),"",IF($B35="Lower",IF(G23&lt;=G11,"Green",IF(G23&lt;=G11*1.25,"Amber","Red")),IF(G23&gt;=G11,"Green",IF(G23&gt;=G11*0.9,"Amber","Red"))))</f>
        <v/>
      </c>
      <c r="H35" s="33" t="str">
        <f aca="false">IF(OR(H23="",H11=""),"",IF($B35="Lower",IF(H23&lt;=H11,"Green",IF(H23&lt;=H11*1.25,"Amber","Red")),IF(H23&gt;=H11,"Green",IF(H23&gt;=H11*0.9,"Amber","Red"))))</f>
        <v/>
      </c>
      <c r="I35" s="33" t="str">
        <f aca="false">IF(OR(I23="",I11=""),"",IF($B35="Lower",IF(I23&lt;=I11,"Green",IF(I23&lt;=I11*1.25,"Amber","Red")),IF(I23&gt;=I11,"Green",IF(I23&gt;=I11*0.9,"Amber","Red"))))</f>
        <v/>
      </c>
      <c r="J35" s="33" t="str">
        <f aca="false">IF(OR(J23="",J11=""),"",IF($B35="Lower",IF(J23&lt;=J11,"Green",IF(J23&lt;=J11*1.25,"Amber","Red")),IF(J23&gt;=J11,"Green",IF(J23&gt;=J11*0.9,"Amber","Red"))))</f>
        <v/>
      </c>
      <c r="K35" s="33" t="str">
        <f aca="false">IF(OR(K23="",K11=""),"",IF($B35="Lower",IF(K23&lt;=K11,"Green",IF(K23&lt;=K11*1.25,"Amber","Red")),IF(K23&gt;=K11,"Green",IF(K23&gt;=K11*0.9,"Amber","Red"))))</f>
        <v/>
      </c>
      <c r="L35" s="33" t="str">
        <f aca="false">IF(OR(L23="",L11=""),"",IF($B35="Lower",IF(L23&lt;=L11,"Green",IF(L23&lt;=L11*1.25,"Amber","Red")),IF(L23&gt;=L11,"Green",IF(L23&gt;=L11*0.9,"Amber","Red"))))</f>
        <v/>
      </c>
      <c r="M35" s="33" t="str">
        <f aca="false">IF(OR(M23="",M11=""),"",IF($B35="Lower",IF(M23&lt;=M11,"Green",IF(M23&lt;=M11*1.25,"Amber","Red")),IF(M23&gt;=M11,"Green",IF(M23&gt;=M11*0.9,"Amber","Red"))))</f>
        <v/>
      </c>
      <c r="N35" s="33" t="str">
        <f aca="false">IF(OR(N23="",N11=""),"",IF($B35="Lower",IF(N23&lt;=N11,"Green",IF(N23&lt;=N11*1.25,"Amber","Red")),IF(N23&gt;=N11,"Green",IF(N23&gt;=N11*0.9,"Amber","Red"))))</f>
        <v/>
      </c>
      <c r="O35" s="33" t="str">
        <f aca="false">IF(OR(O23="",O11=""),"",IF($B35="Lower",IF(O23&lt;=O11,"Green",IF(O23&lt;=O11*1.25,"Amber","Red")),IF(O23&gt;=O11,"Green",IF(O23&gt;=O11*0.9,"Amber","Red"))))</f>
        <v/>
      </c>
      <c r="P35" s="33" t="str">
        <f aca="false">IF(OR(P23="",P11=""),"",IF($B35="Lower",IF(P23&lt;=P11,"Green",IF(P23&lt;=P11*1.25,"Amber","Red")),IF(P23&gt;=P11,"Green",IF(P23&gt;=P11*0.9,"Amber","Red"))))</f>
        <v/>
      </c>
    </row>
    <row r="36" customFormat="false" ht="27.75" hidden="false" customHeight="true" outlineLevel="0" collapsed="false">
      <c r="A36" s="23" t="s">
        <v>242</v>
      </c>
      <c r="B36" s="24" t="s">
        <v>236</v>
      </c>
      <c r="C36" s="24" t="s">
        <v>233</v>
      </c>
      <c r="D36" s="26"/>
      <c r="E36" s="33" t="str">
        <f aca="false">IF(OR(E24="",E12=""),"",IF($B36="Lower",IF(E24&lt;=E12,"Green",IF(E24&lt;=E12*1.25,"Amber","Red")),IF(E24&gt;=E12,"Green",IF(E24&gt;=E12*0.9,"Amber","Red"))))</f>
        <v/>
      </c>
      <c r="F36" s="33" t="str">
        <f aca="false">IF(OR(F24="",F12=""),"",IF($B36="Lower",IF(F24&lt;=F12,"Green",IF(F24&lt;=F12*1.25,"Amber","Red")),IF(F24&gt;=F12,"Green",IF(F24&gt;=F12*0.9,"Amber","Red"))))</f>
        <v/>
      </c>
      <c r="G36" s="33" t="str">
        <f aca="false">IF(OR(G24="",G12=""),"",IF($B36="Lower",IF(G24&lt;=G12,"Green",IF(G24&lt;=G12*1.25,"Amber","Red")),IF(G24&gt;=G12,"Green",IF(G24&gt;=G12*0.9,"Amber","Red"))))</f>
        <v/>
      </c>
      <c r="H36" s="33" t="str">
        <f aca="false">IF(OR(H24="",H12=""),"",IF($B36="Lower",IF(H24&lt;=H12,"Green",IF(H24&lt;=H12*1.25,"Amber","Red")),IF(H24&gt;=H12,"Green",IF(H24&gt;=H12*0.9,"Amber","Red"))))</f>
        <v/>
      </c>
      <c r="I36" s="33" t="str">
        <f aca="false">IF(OR(I24="",I12=""),"",IF($B36="Lower",IF(I24&lt;=I12,"Green",IF(I24&lt;=I12*1.25,"Amber","Red")),IF(I24&gt;=I12,"Green",IF(I24&gt;=I12*0.9,"Amber","Red"))))</f>
        <v/>
      </c>
      <c r="J36" s="33" t="str">
        <f aca="false">IF(OR(J24="",J12=""),"",IF($B36="Lower",IF(J24&lt;=J12,"Green",IF(J24&lt;=J12*1.25,"Amber","Red")),IF(J24&gt;=J12,"Green",IF(J24&gt;=J12*0.9,"Amber","Red"))))</f>
        <v/>
      </c>
      <c r="K36" s="33" t="str">
        <f aca="false">IF(OR(K24="",K12=""),"",IF($B36="Lower",IF(K24&lt;=K12,"Green",IF(K24&lt;=K12*1.25,"Amber","Red")),IF(K24&gt;=K12,"Green",IF(K24&gt;=K12*0.9,"Amber","Red"))))</f>
        <v/>
      </c>
      <c r="L36" s="33" t="str">
        <f aca="false">IF(OR(L24="",L12=""),"",IF($B36="Lower",IF(L24&lt;=L12,"Green",IF(L24&lt;=L12*1.25,"Amber","Red")),IF(L24&gt;=L12,"Green",IF(L24&gt;=L12*0.9,"Amber","Red"))))</f>
        <v/>
      </c>
      <c r="M36" s="33" t="str">
        <f aca="false">IF(OR(M24="",M12=""),"",IF($B36="Lower",IF(M24&lt;=M12,"Green",IF(M24&lt;=M12*1.25,"Amber","Red")),IF(M24&gt;=M12,"Green",IF(M24&gt;=M12*0.9,"Amber","Red"))))</f>
        <v/>
      </c>
      <c r="N36" s="33" t="str">
        <f aca="false">IF(OR(N24="",N12=""),"",IF($B36="Lower",IF(N24&lt;=N12,"Green",IF(N24&lt;=N12*1.25,"Amber","Red")),IF(N24&gt;=N12,"Green",IF(N24&gt;=N12*0.9,"Amber","Red"))))</f>
        <v/>
      </c>
      <c r="O36" s="33" t="str">
        <f aca="false">IF(OR(O24="",O12=""),"",IF($B36="Lower",IF(O24&lt;=O12,"Green",IF(O24&lt;=O12*1.25,"Amber","Red")),IF(O24&gt;=O12,"Green",IF(O24&gt;=O12*0.9,"Amber","Red"))))</f>
        <v/>
      </c>
      <c r="P36" s="33" t="str">
        <f aca="false">IF(OR(P24="",P12=""),"",IF($B36="Lower",IF(P24&lt;=P12,"Green",IF(P24&lt;=P12*1.25,"Amber","Red")),IF(P24&gt;=P12,"Green",IF(P24&gt;=P12*0.9,"Amber","Red"))))</f>
        <v/>
      </c>
    </row>
    <row r="37" customFormat="false" ht="27.75" hidden="false" customHeight="true" outlineLevel="0" collapsed="false">
      <c r="A37" s="23" t="s">
        <v>243</v>
      </c>
      <c r="B37" s="24" t="s">
        <v>236</v>
      </c>
      <c r="C37" s="24" t="s">
        <v>233</v>
      </c>
      <c r="D37" s="26"/>
      <c r="E37" s="33" t="str">
        <f aca="false">IF(OR(E25="",E13=""),"",IF($B37="Lower",IF(E25&lt;=E13,"Green",IF(E25&lt;=E13*1.25,"Amber","Red")),IF(E25&gt;=E13,"Green",IF(E25&gt;=E13*0.9,"Amber","Red"))))</f>
        <v/>
      </c>
      <c r="F37" s="33" t="str">
        <f aca="false">IF(OR(F25="",F13=""),"",IF($B37="Lower",IF(F25&lt;=F13,"Green",IF(F25&lt;=F13*1.25,"Amber","Red")),IF(F25&gt;=F13,"Green",IF(F25&gt;=F13*0.9,"Amber","Red"))))</f>
        <v/>
      </c>
      <c r="G37" s="33" t="str">
        <f aca="false">IF(OR(G25="",G13=""),"",IF($B37="Lower",IF(G25&lt;=G13,"Green",IF(G25&lt;=G13*1.25,"Amber","Red")),IF(G25&gt;=G13,"Green",IF(G25&gt;=G13*0.9,"Amber","Red"))))</f>
        <v/>
      </c>
      <c r="H37" s="33" t="str">
        <f aca="false">IF(OR(H25="",H13=""),"",IF($B37="Lower",IF(H25&lt;=H13,"Green",IF(H25&lt;=H13*1.25,"Amber","Red")),IF(H25&gt;=H13,"Green",IF(H25&gt;=H13*0.9,"Amber","Red"))))</f>
        <v/>
      </c>
      <c r="I37" s="33" t="str">
        <f aca="false">IF(OR(I25="",I13=""),"",IF($B37="Lower",IF(I25&lt;=I13,"Green",IF(I25&lt;=I13*1.25,"Amber","Red")),IF(I25&gt;=I13,"Green",IF(I25&gt;=I13*0.9,"Amber","Red"))))</f>
        <v/>
      </c>
      <c r="J37" s="33" t="str">
        <f aca="false">IF(OR(J25="",J13=""),"",IF($B37="Lower",IF(J25&lt;=J13,"Green",IF(J25&lt;=J13*1.25,"Amber","Red")),IF(J25&gt;=J13,"Green",IF(J25&gt;=J13*0.9,"Amber","Red"))))</f>
        <v/>
      </c>
      <c r="K37" s="33" t="str">
        <f aca="false">IF(OR(K25="",K13=""),"",IF($B37="Lower",IF(K25&lt;=K13,"Green",IF(K25&lt;=K13*1.25,"Amber","Red")),IF(K25&gt;=K13,"Green",IF(K25&gt;=K13*0.9,"Amber","Red"))))</f>
        <v/>
      </c>
      <c r="L37" s="33" t="str">
        <f aca="false">IF(OR(L25="",L13=""),"",IF($B37="Lower",IF(L25&lt;=L13,"Green",IF(L25&lt;=L13*1.25,"Amber","Red")),IF(L25&gt;=L13,"Green",IF(L25&gt;=L13*0.9,"Amber","Red"))))</f>
        <v/>
      </c>
      <c r="M37" s="33" t="str">
        <f aca="false">IF(OR(M25="",M13=""),"",IF($B37="Lower",IF(M25&lt;=M13,"Green",IF(M25&lt;=M13*1.25,"Amber","Red")),IF(M25&gt;=M13,"Green",IF(M25&gt;=M13*0.9,"Amber","Red"))))</f>
        <v/>
      </c>
      <c r="N37" s="33" t="str">
        <f aca="false">IF(OR(N25="",N13=""),"",IF($B37="Lower",IF(N25&lt;=N13,"Green",IF(N25&lt;=N13*1.25,"Amber","Red")),IF(N25&gt;=N13,"Green",IF(N25&gt;=N13*0.9,"Amber","Red"))))</f>
        <v/>
      </c>
      <c r="O37" s="33" t="str">
        <f aca="false">IF(OR(O25="",O13=""),"",IF($B37="Lower",IF(O25&lt;=O13,"Green",IF(O25&lt;=O13*1.25,"Amber","Red")),IF(O25&gt;=O13,"Green",IF(O25&gt;=O13*0.9,"Amber","Red"))))</f>
        <v/>
      </c>
      <c r="P37" s="33" t="str">
        <f aca="false">IF(OR(P25="",P13=""),"",IF($B37="Lower",IF(P25&lt;=P13,"Green",IF(P25&lt;=P13*1.25,"Amber","Red")),IF(P25&gt;=P13,"Green",IF(P25&gt;=P13*0.9,"Amber","Red"))))</f>
        <v/>
      </c>
    </row>
  </sheetData>
  <mergeCells count="1">
    <mergeCell ref="A2:P2"/>
  </mergeCells>
  <conditionalFormatting sqref="E30:P37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2" t="s">
        <v>246</v>
      </c>
    </row>
    <row r="2" customFormat="false" ht="15" hidden="false" customHeight="false" outlineLevel="0" collapsed="false">
      <c r="A2" s="13" t="s">
        <v>247</v>
      </c>
    </row>
    <row r="4" customFormat="false" ht="30" hidden="false" customHeight="true" outlineLevel="0" collapsed="false">
      <c r="A4" s="3" t="s">
        <v>248</v>
      </c>
      <c r="B4" s="3" t="s">
        <v>249</v>
      </c>
      <c r="C4" s="3" t="s">
        <v>234</v>
      </c>
      <c r="D4" s="3" t="s">
        <v>250</v>
      </c>
    </row>
    <row r="5" customFormat="false" ht="15" hidden="false" customHeight="false" outlineLevel="0" collapsed="false">
      <c r="A5" s="34" t="s">
        <v>230</v>
      </c>
      <c r="B5" s="35" t="n">
        <v>0.34</v>
      </c>
      <c r="C5" s="35" t="n">
        <v>0.18</v>
      </c>
      <c r="D5" s="35"/>
    </row>
    <row r="6" customFormat="false" ht="15" hidden="false" customHeight="false" outlineLevel="0" collapsed="false">
      <c r="A6" s="34" t="s">
        <v>251</v>
      </c>
      <c r="B6" s="35" t="n">
        <v>0.28</v>
      </c>
      <c r="C6" s="35" t="n">
        <v>0.12</v>
      </c>
      <c r="D6" s="35" t="n">
        <v>0.2</v>
      </c>
    </row>
    <row r="7" customFormat="false" ht="15" hidden="false" customHeight="false" outlineLevel="0" collapsed="false">
      <c r="A7" s="34" t="s">
        <v>252</v>
      </c>
      <c r="B7" s="35" t="n">
        <v>0.2</v>
      </c>
      <c r="C7" s="35" t="n">
        <v>0.08</v>
      </c>
      <c r="D7" s="35" t="n">
        <v>0.35</v>
      </c>
    </row>
    <row r="8" customFormat="false" ht="15" hidden="false" customHeight="false" outlineLevel="0" collapsed="false">
      <c r="A8" s="34" t="s">
        <v>253</v>
      </c>
      <c r="B8" s="35" t="n">
        <v>0.14</v>
      </c>
      <c r="C8" s="35" t="n">
        <v>0.05</v>
      </c>
      <c r="D8" s="35" t="n">
        <v>0.45</v>
      </c>
    </row>
    <row r="9" customFormat="false" ht="15" hidden="false" customHeight="false" outlineLevel="0" collapsed="false">
      <c r="A9" s="34" t="s">
        <v>254</v>
      </c>
      <c r="B9" s="35" t="n">
        <v>0.1</v>
      </c>
      <c r="C9" s="35" t="n">
        <v>0.03</v>
      </c>
      <c r="D9" s="35" t="n">
        <v>0.55</v>
      </c>
    </row>
    <row r="10" customFormat="false" ht="15" hidden="false" customHeight="false" outlineLevel="0" collapsed="false">
      <c r="A10" s="34" t="s">
        <v>255</v>
      </c>
      <c r="B10" s="35" t="n">
        <v>0.07</v>
      </c>
      <c r="C10" s="35" t="n">
        <v>0.02</v>
      </c>
      <c r="D10" s="35" t="n">
        <v>0.65</v>
      </c>
    </row>
    <row r="11" customFormat="false" ht="15" hidden="false" customHeight="false" outlineLevel="0" collapsed="false">
      <c r="A11" s="34" t="s">
        <v>256</v>
      </c>
      <c r="B11" s="35" t="n">
        <v>0.05</v>
      </c>
      <c r="C11" s="35" t="n">
        <v>0.01</v>
      </c>
      <c r="D11" s="35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2" t="s">
        <v>257</v>
      </c>
    </row>
    <row r="3" customFormat="false" ht="31.5" hidden="false" customHeight="true" outlineLevel="0" collapsed="false">
      <c r="A3" s="36" t="s">
        <v>258</v>
      </c>
    </row>
    <row r="4" customFormat="false" ht="31.5" hidden="false" customHeight="true" outlineLevel="0" collapsed="false">
      <c r="A4" s="36" t="s">
        <v>259</v>
      </c>
    </row>
    <row r="5" customFormat="false" ht="31.5" hidden="false" customHeight="true" outlineLevel="0" collapsed="false">
      <c r="A5" s="36" t="s">
        <v>260</v>
      </c>
    </row>
    <row r="6" customFormat="false" ht="31.5" hidden="false" customHeight="true" outlineLevel="0" collapsed="false">
      <c r="A6" s="36" t="s">
        <v>261</v>
      </c>
    </row>
    <row r="7" customFormat="false" ht="31.5" hidden="false" customHeight="true" outlineLevel="0" collapsed="false">
      <c r="A7" s="36" t="s">
        <v>262</v>
      </c>
    </row>
    <row r="8" customFormat="false" ht="31.5" hidden="false" customHeight="true" outlineLevel="0" collapsed="false">
      <c r="A8" s="36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2026-10-19T19:29:24Z</dcterms:created>
  <dc:creator>openpyxl</dc:creator>
  <dc:description/>
  <dc:language>en-US</dc:language>
  <cp:lastModifiedBy/>
  <dcterms:modified xsi:type="dcterms:W3CDTF">2026-10-19T19:29:25Z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