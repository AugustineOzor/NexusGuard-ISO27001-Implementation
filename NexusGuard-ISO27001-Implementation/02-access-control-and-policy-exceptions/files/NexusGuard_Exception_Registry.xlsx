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ception Registry" sheetId="1" state="visible" r:id="rId3"/>
    <sheet name="Summary and Guid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<sst xmlns="http://schemas.openxmlformats.org/spreadsheetml/2006/main" count="77" uniqueCount="70">
  <si>
    <t xml:space="preserve">NexusGuard Policy Exception Registry</t>
  </si>
  <si>
    <t xml:space="preserve">One row per exception (PRC-GRC-001). Blue cells are inputs. Days to expiry, Status and Review flag are calculated from today's date. Close an exception by entering the closure date. An exception past expiry and not closed shows as EXPIRED and is a policy violation until closed or renewed.</t>
  </si>
  <si>
    <t xml:space="preserve">Exception ID</t>
  </si>
  <si>
    <t xml:space="preserve">Date logged</t>
  </si>
  <si>
    <t xml:space="preserve">Requestor</t>
  </si>
  <si>
    <t xml:space="preserve">Department</t>
  </si>
  <si>
    <t xml:space="preserve">Policy and clause</t>
  </si>
  <si>
    <t xml:space="preserve">Description</t>
  </si>
  <si>
    <t xml:space="preserve">Inherent risk (score)</t>
  </si>
  <si>
    <t xml:space="preserve">Residual risk (score)</t>
  </si>
  <si>
    <t xml:space="preserve">Risk level</t>
  </si>
  <si>
    <t xml:space="preserve">Approver</t>
  </si>
  <si>
    <t xml:space="preserve">Decision</t>
  </si>
  <si>
    <t xml:space="preserve">Start date</t>
  </si>
  <si>
    <t xml:space="preserve">Expiry date</t>
  </si>
  <si>
    <t xml:space="preserve">Days to expiry</t>
  </si>
  <si>
    <t xml:space="preserve">Status (calculated)</t>
  </si>
  <si>
    <t xml:space="preserve">Next review date</t>
  </si>
  <si>
    <t xml:space="preserve">Closure date</t>
  </si>
  <si>
    <t xml:space="preserve">Closure owner</t>
  </si>
  <si>
    <t xml:space="preserve">Evidence and notes</t>
  </si>
  <si>
    <t xml:space="preserve">Review flag</t>
  </si>
  <si>
    <t xml:space="preserve">EXC-2026-001</t>
  </si>
  <si>
    <t xml:space="preserve">Development Team Lead, NexusHealth Pro</t>
  </si>
  <si>
    <t xml:space="preserve">Product Teams (NexusHealth Pro)</t>
  </si>
  <si>
    <t xml:space="preserve">Access Control Policy POL-ACC-001, clause 5.4.7 (MFA for admin accounts)</t>
  </si>
  <si>
    <t xml:space="preserve">Admin accounts on legacy test environment without MFA while it is upgraded</t>
  </si>
  <si>
    <t xml:space="preserve">High</t>
  </si>
  <si>
    <t xml:space="preserve">CISO</t>
  </si>
  <si>
    <t xml:space="preserve">Approved with conditions</t>
  </si>
  <si>
    <t xml:space="preserve">Engineering Manager, NexusHealth Pro</t>
  </si>
  <si>
    <t xml:space="preserve">MFA gateway, isolation, vaulted credentials; no live PHI. Closes when MFA is enforced on all admin accounts.</t>
  </si>
  <si>
    <t xml:space="preserve">EXC-2026-002</t>
  </si>
  <si>
    <t xml:space="preserve">IT Lead, Cairo office</t>
  </si>
  <si>
    <t xml:space="preserve">Cairo office</t>
  </si>
  <si>
    <t xml:space="preserve">Data residency requirement, POL-DCH-001 clause 5.8</t>
  </si>
  <si>
    <t xml:space="preserve">Cairo traffic routed through European servers. Internal and Confidential data only; PHI and card data blocked.</t>
  </si>
  <si>
    <t xml:space="preserve">Encrypted tunnel ending in the UAE; Legal and DPO contract check. Closes when UAE-routed connectivity is verified.</t>
  </si>
  <si>
    <t xml:space="preserve">EXC-2026-003</t>
  </si>
  <si>
    <t xml:space="preserve">Finance Team Lead</t>
  </si>
  <si>
    <t xml:space="preserve">Finance</t>
  </si>
  <si>
    <t xml:space="preserve">Vulnerability scanning policy (quarterly), ISP clause 5.9.2</t>
  </si>
  <si>
    <t xml:space="preserve">No scans during the 60-day year-end freeze; full scans before and within 10 business days after</t>
  </si>
  <si>
    <t xml:space="preserve">Medium</t>
  </si>
  <si>
    <t xml:space="preserve">Finance Manager (CISO informed)</t>
  </si>
  <si>
    <t xml:space="preserve">Finance Manager</t>
  </si>
  <si>
    <t xml:space="preserve">Pre-freeze scan 16-27 Nov; non-intrusive monitoring; post-freeze scan by 12/02/2027. Confirm Finance systems are outside PCI DSS scope.</t>
  </si>
  <si>
    <t xml:space="preserve">Registry summary</t>
  </si>
  <si>
    <t xml:space="preserve">Status</t>
  </si>
  <si>
    <t xml:space="preserve">Count</t>
  </si>
  <si>
    <t xml:space="preserve">Active</t>
  </si>
  <si>
    <t xml:space="preserve">Expiring (30 days or less)</t>
  </si>
  <si>
    <t xml:space="preserve">EXPIRED</t>
  </si>
  <si>
    <t xml:space="preserve">Approved, not started</t>
  </si>
  <si>
    <t xml:space="preserve">Closed</t>
  </si>
  <si>
    <t xml:space="preserve">Denied</t>
  </si>
  <si>
    <t xml:space="preserve">Total logged</t>
  </si>
  <si>
    <t xml:space="preserve">Reviews overdue</t>
  </si>
  <si>
    <t xml:space="preserve">By risk level</t>
  </si>
  <si>
    <t xml:space="preserve">Level</t>
  </si>
  <si>
    <t xml:space="preserve">Open (not closed or denied)</t>
  </si>
  <si>
    <t xml:space="preserve">Low</t>
  </si>
  <si>
    <t xml:space="preserve">Critical</t>
  </si>
  <si>
    <t xml:space="preserve">Guide</t>
  </si>
  <si>
    <t xml:space="preserve">Maximum durations: Low 12 months; Medium 6 months; High 90 days; Critical 30 days. Renewal limits are in Table 3 of PRC-GRC-001.</t>
  </si>
  <si>
    <t xml:space="preserve">Review schedule: Low every 6 months; Medium every 3 months; High every 30 days; Critical weekly. Set the Next review date accordingly.</t>
  </si>
  <si>
    <t xml:space="preserve">Status is calculated. Enter a Closure date to close an exception, or set Decision to Denied.</t>
  </si>
  <si>
    <t xml:space="preserve">Risk level is set from the residual score (Low 1-4, Medium 5-9, High 10-16, Critical 17-25), raised to at least High where an escalation trigger applies.</t>
  </si>
  <si>
    <t xml:space="preserve">Report to the ISSC and Risk Committee quarterly. Keep registry records for six years.</t>
  </si>
  <si>
    <t xml:space="preserve">The first three rows are the worked examples from the process document. The dates are illustrative scenario data.</t>
  </si>
</sst>
</file>

<file path=xl/styles.xml><?xml version="1.0" encoding="utf-8"?>
<styleSheet xmlns="http://schemas.openxmlformats.org/spreadsheetml/2006/main">
  <numFmts count="3">
    <numFmt numFmtId="164" formatCode="General"/>
    <numFmt numFmtId="165" formatCode="dd/mm/yyyy"/>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1B4F72"/>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sz val="10"/>
      <name val="Arial"/>
      <family val="0"/>
      <charset val="1"/>
    </font>
    <font>
      <b val="true"/>
      <sz val="14"/>
      <color rgb="FF1B4F72"/>
      <name val="Arial"/>
      <family val="0"/>
      <charset val="1"/>
    </font>
    <font>
      <b val="true"/>
      <sz val="10"/>
      <name val="Arial"/>
      <family val="0"/>
      <charset val="1"/>
    </font>
    <font>
      <b val="true"/>
      <sz val="12"/>
      <color rgb="FF1B4F72"/>
      <name val="Arial"/>
      <family val="0"/>
      <charset val="1"/>
    </font>
  </fonts>
  <fills count="3">
    <fill>
      <patternFill patternType="none"/>
    </fill>
    <fill>
      <patternFill patternType="gray125"/>
    </fill>
    <fill>
      <patternFill patternType="solid">
        <fgColor rgb="FF1B4F72"/>
        <bgColor rgb="FF1F4E7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name val="Arial"/>
        <charset val="1"/>
        <family val="0"/>
        <b val="1"/>
        <color rgb="FF1E5631"/>
      </font>
      <fill>
        <patternFill>
          <bgColor rgb="FFC6E0B4"/>
        </patternFill>
      </fill>
    </dxf>
    <dxf>
      <font>
        <name val="Arial"/>
        <charset val="1"/>
        <family val="0"/>
        <b val="1"/>
        <color rgb="FF7F6000"/>
      </font>
      <fill>
        <patternFill>
          <bgColor rgb="FFFFE699"/>
        </patternFill>
      </fill>
    </dxf>
    <dxf>
      <font>
        <name val="Arial"/>
        <charset val="1"/>
        <family val="0"/>
        <b val="1"/>
        <color rgb="FF8B1A10"/>
      </font>
      <fill>
        <patternFill>
          <bgColor rgb="FFF4B6B0"/>
        </patternFill>
      </fill>
    </dxf>
    <dxf>
      <font>
        <name val="Arial"/>
        <charset val="1"/>
        <family val="0"/>
        <b val="1"/>
        <color rgb="FF404040"/>
      </font>
      <fill>
        <patternFill>
          <bgColor rgb="FFD9D9D9"/>
        </patternFill>
      </fill>
    </dxf>
    <dxf>
      <font>
        <name val="Arial"/>
        <charset val="1"/>
        <family val="0"/>
        <b val="1"/>
        <color rgb="FF1F4E79"/>
      </font>
      <fill>
        <patternFill>
          <bgColor rgb="FFDDEBF7"/>
        </patternFill>
      </fill>
    </dxf>
    <dxf>
      <font>
        <name val="Arial"/>
        <charset val="1"/>
        <family val="0"/>
        <b val="1"/>
        <color rgb="FF8B1A10"/>
      </font>
    </dxf>
    <dxf>
      <fill>
        <patternFill>
          <bgColor rgb="FFE2EFDA"/>
        </patternFill>
      </fill>
    </dxf>
    <dxf>
      <fill>
        <patternFill>
          <bgColor rgb="FFFFF2CC"/>
        </patternFill>
      </fill>
    </dxf>
    <dxf>
      <fill>
        <patternFill>
          <bgColor rgb="FFFCE4D6"/>
        </patternFill>
      </fill>
    </dxf>
    <dxf>
      <fill>
        <patternFill>
          <bgColor rgb="FFF4B6B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E2EFDA"/>
      <rgbColor rgb="FFFFE699"/>
      <rgbColor rgb="FF99CCFF"/>
      <rgbColor rgb="FFFCE4D6"/>
      <rgbColor rgb="FFCC99FF"/>
      <rgbColor rgb="FFF4B6B0"/>
      <rgbColor rgb="FF3366FF"/>
      <rgbColor rgb="FF33CCCC"/>
      <rgbColor rgb="FF99CC00"/>
      <rgbColor rgb="FFFFCC00"/>
      <rgbColor rgb="FFFF9900"/>
      <rgbColor rgb="FFFF6600"/>
      <rgbColor rgb="FF595959"/>
      <rgbColor rgb="FF969696"/>
      <rgbColor rgb="FF1B4F72"/>
      <rgbColor rgb="FF339966"/>
      <rgbColor rgb="FF003300"/>
      <rgbColor rgb="FF1E5631"/>
      <rgbColor rgb="FF8B1A1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4"/>
    <col collapsed="false" customWidth="true" hidden="false" outlineLevel="0" max="4" min="4" style="0" width="20"/>
    <col collapsed="false" customWidth="true" hidden="false" outlineLevel="0" max="5" min="5" style="0" width="30"/>
    <col collapsed="false" customWidth="true" hidden="false" outlineLevel="0" max="6" min="6" style="0" width="40"/>
    <col collapsed="false" customWidth="true" hidden="false" outlineLevel="0" max="9" min="7" style="0" width="10"/>
    <col collapsed="false" customWidth="true" hidden="false" outlineLevel="0" max="10" min="10" style="0" width="18"/>
    <col collapsed="false" customWidth="true" hidden="false" outlineLevel="0" max="11" min="11" style="0" width="20"/>
    <col collapsed="false" customWidth="true" hidden="false" outlineLevel="0" max="13" min="12" style="0" width="11"/>
    <col collapsed="false" customWidth="true" hidden="false" outlineLevel="0" max="14" min="14" style="0" width="10"/>
    <col collapsed="false" customWidth="true" hidden="false" outlineLevel="0" max="15" min="15" style="0" width="20"/>
    <col collapsed="false" customWidth="true" hidden="false" outlineLevel="0" max="16" min="16" style="0" width="12"/>
    <col collapsed="false" customWidth="true" hidden="false" outlineLevel="0" max="17" min="17" style="0" width="11"/>
    <col collapsed="false" customWidth="true" hidden="false" outlineLevel="0" max="18" min="18" style="0" width="22"/>
    <col collapsed="false" customWidth="true" hidden="false" outlineLevel="0" max="19" min="19" style="0" width="46"/>
    <col collapsed="false" customWidth="true" hidden="false" outlineLevel="0" max="20" min="20" style="0" width="14"/>
  </cols>
  <sheetData>
    <row r="1" customFormat="false" ht="19.7"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c r="N2" s="2"/>
      <c r="O2" s="2"/>
      <c r="P2" s="2"/>
      <c r="Q2" s="2"/>
      <c r="R2" s="2"/>
      <c r="S2" s="2"/>
      <c r="T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row>
    <row r="5" customFormat="false" ht="61.5" hidden="false" customHeight="true" outlineLevel="0" collapsed="false">
      <c r="A5" s="4" t="s">
        <v>22</v>
      </c>
      <c r="B5" s="5" t="n">
        <v>46312</v>
      </c>
      <c r="C5" s="6" t="s">
        <v>23</v>
      </c>
      <c r="D5" s="6" t="s">
        <v>24</v>
      </c>
      <c r="E5" s="6" t="s">
        <v>25</v>
      </c>
      <c r="F5" s="6" t="s">
        <v>26</v>
      </c>
      <c r="G5" s="4" t="n">
        <v>12</v>
      </c>
      <c r="H5" s="4" t="n">
        <v>6</v>
      </c>
      <c r="I5" s="4" t="s">
        <v>27</v>
      </c>
      <c r="J5" s="6" t="s">
        <v>28</v>
      </c>
      <c r="K5" s="6" t="s">
        <v>29</v>
      </c>
      <c r="L5" s="5" t="n">
        <v>46314</v>
      </c>
      <c r="M5" s="5" t="n">
        <v>46404</v>
      </c>
      <c r="N5" s="7" t="n">
        <f aca="true">IF(OR(M5="",Q5&lt;&gt;""),"",M5-TODAY())</f>
        <v>92</v>
      </c>
      <c r="O5" s="8" t="str">
        <f aca="true">IF(A5="","",IF(K5="Denied","Denied",IF(Q5&lt;&gt;"","Closed",IF(L5="","Requested",IF(L5&gt;TODAY(),"Approved, not started",IF(M5&lt;TODAY(),"EXPIRED",IF(M5-TODAY()&lt;=30,"Expiring (30 days or less)","Active")))))))</f>
        <v>Approved, not started</v>
      </c>
      <c r="P5" s="5" t="n">
        <v>46328</v>
      </c>
      <c r="Q5" s="5"/>
      <c r="R5" s="6" t="s">
        <v>30</v>
      </c>
      <c r="S5" s="6" t="s">
        <v>31</v>
      </c>
      <c r="T5" s="8" t="str">
        <f aca="true">IF(AND(P5&lt;&gt;"",Q5="",K5&lt;&gt;"Denied",P5&lt;TODAY()),"Review overdue","")</f>
        <v/>
      </c>
    </row>
    <row r="6" customFormat="false" ht="61.5" hidden="false" customHeight="true" outlineLevel="0" collapsed="false">
      <c r="A6" s="4" t="s">
        <v>32</v>
      </c>
      <c r="B6" s="5" t="n">
        <v>46312</v>
      </c>
      <c r="C6" s="6" t="s">
        <v>33</v>
      </c>
      <c r="D6" s="6" t="s">
        <v>34</v>
      </c>
      <c r="E6" s="6" t="s">
        <v>35</v>
      </c>
      <c r="F6" s="6" t="s">
        <v>36</v>
      </c>
      <c r="G6" s="4" t="n">
        <v>12</v>
      </c>
      <c r="H6" s="4" t="n">
        <v>6</v>
      </c>
      <c r="I6" s="4" t="s">
        <v>27</v>
      </c>
      <c r="J6" s="6" t="s">
        <v>28</v>
      </c>
      <c r="K6" s="6" t="s">
        <v>29</v>
      </c>
      <c r="L6" s="5" t="n">
        <v>46315</v>
      </c>
      <c r="M6" s="5" t="n">
        <v>46405</v>
      </c>
      <c r="N6" s="7" t="n">
        <f aca="true">IF(OR(M6="",Q6&lt;&gt;""),"",M6-TODAY())</f>
        <v>93</v>
      </c>
      <c r="O6" s="8" t="str">
        <f aca="true">IF(A6="","",IF(K6="Denied","Denied",IF(Q6&lt;&gt;"","Closed",IF(L6="","Requested",IF(L6&gt;TODAY(),"Approved, not started",IF(M6&lt;TODAY(),"EXPIRED",IF(M6-TODAY()&lt;=30,"Expiring (30 days or less)","Active")))))))</f>
        <v>Approved, not started</v>
      </c>
      <c r="P6" s="5" t="n">
        <v>46330</v>
      </c>
      <c r="Q6" s="5"/>
      <c r="R6" s="6" t="s">
        <v>33</v>
      </c>
      <c r="S6" s="6" t="s">
        <v>37</v>
      </c>
      <c r="T6" s="8" t="str">
        <f aca="true">IF(AND(P6&lt;&gt;"",Q6="",K6&lt;&gt;"Denied",P6&lt;TODAY()),"Review overdue","")</f>
        <v/>
      </c>
    </row>
    <row r="7" customFormat="false" ht="61.5" hidden="false" customHeight="true" outlineLevel="0" collapsed="false">
      <c r="A7" s="4" t="s">
        <v>38</v>
      </c>
      <c r="B7" s="5" t="n">
        <v>46312</v>
      </c>
      <c r="C7" s="6" t="s">
        <v>39</v>
      </c>
      <c r="D7" s="6" t="s">
        <v>40</v>
      </c>
      <c r="E7" s="6" t="s">
        <v>41</v>
      </c>
      <c r="F7" s="6" t="s">
        <v>42</v>
      </c>
      <c r="G7" s="4" t="n">
        <v>9</v>
      </c>
      <c r="H7" s="4" t="n">
        <v>6</v>
      </c>
      <c r="I7" s="4" t="s">
        <v>43</v>
      </c>
      <c r="J7" s="6" t="s">
        <v>44</v>
      </c>
      <c r="K7" s="6" t="s">
        <v>29</v>
      </c>
      <c r="L7" s="5" t="n">
        <v>46357</v>
      </c>
      <c r="M7" s="5" t="n">
        <v>46416</v>
      </c>
      <c r="N7" s="7" t="n">
        <f aca="true">IF(OR(M7="",Q7&lt;&gt;""),"",M7-TODAY())</f>
        <v>104</v>
      </c>
      <c r="O7" s="8" t="str">
        <f aca="true">IF(A7="","",IF(K7="Denied","Denied",IF(Q7&lt;&gt;"","Closed",IF(L7="","Requested",IF(L7&gt;TODAY(),"Approved, not started",IF(M7&lt;TODAY(),"EXPIRED",IF(M7-TODAY()&lt;=30,"Expiring (30 days or less)","Active")))))))</f>
        <v>Approved, not started</v>
      </c>
      <c r="P7" s="5" t="n">
        <v>46371</v>
      </c>
      <c r="Q7" s="5"/>
      <c r="R7" s="6" t="s">
        <v>45</v>
      </c>
      <c r="S7" s="6" t="s">
        <v>46</v>
      </c>
      <c r="T7" s="8" t="str">
        <f aca="true">IF(AND(P7&lt;&gt;"",Q7="",K7&lt;&gt;"Denied",P7&lt;TODAY()),"Review overdue","")</f>
        <v/>
      </c>
    </row>
    <row r="8" customFormat="false" ht="15" hidden="false" customHeight="false" outlineLevel="0" collapsed="false">
      <c r="A8" s="4"/>
      <c r="B8" s="5"/>
      <c r="C8" s="6"/>
      <c r="D8" s="6"/>
      <c r="E8" s="6"/>
      <c r="F8" s="6"/>
      <c r="G8" s="4"/>
      <c r="H8" s="4"/>
      <c r="I8" s="4"/>
      <c r="J8" s="6"/>
      <c r="K8" s="6"/>
      <c r="L8" s="5"/>
      <c r="M8" s="5"/>
      <c r="N8" s="7" t="str">
        <f aca="true">IF(OR(M8="",Q8&lt;&gt;""),"",M8-TODAY())</f>
        <v/>
      </c>
      <c r="O8" s="8" t="str">
        <f aca="true">IF(A8="","",IF(K8="Denied","Denied",IF(Q8&lt;&gt;"","Closed",IF(L8="","Requested",IF(L8&gt;TODAY(),"Approved, not started",IF(M8&lt;TODAY(),"EXPIRED",IF(M8-TODAY()&lt;=30,"Expiring (30 days or less)","Active")))))))</f>
        <v/>
      </c>
      <c r="P8" s="5"/>
      <c r="Q8" s="5"/>
      <c r="R8" s="6"/>
      <c r="S8" s="6"/>
      <c r="T8" s="8" t="str">
        <f aca="true">IF(AND(P8&lt;&gt;"",Q8="",K8&lt;&gt;"Denied",P8&lt;TODAY()),"Review overdue","")</f>
        <v/>
      </c>
    </row>
    <row r="9" customFormat="false" ht="15" hidden="false" customHeight="false" outlineLevel="0" collapsed="false">
      <c r="A9" s="4"/>
      <c r="B9" s="5"/>
      <c r="C9" s="6"/>
      <c r="D9" s="6"/>
      <c r="E9" s="6"/>
      <c r="F9" s="6"/>
      <c r="G9" s="4"/>
      <c r="H9" s="4"/>
      <c r="I9" s="4"/>
      <c r="J9" s="6"/>
      <c r="K9" s="6"/>
      <c r="L9" s="5"/>
      <c r="M9" s="5"/>
      <c r="N9" s="7" t="str">
        <f aca="true">IF(OR(M9="",Q9&lt;&gt;""),"",M9-TODAY())</f>
        <v/>
      </c>
      <c r="O9" s="8" t="str">
        <f aca="true">IF(A9="","",IF(K9="Denied","Denied",IF(Q9&lt;&gt;"","Closed",IF(L9="","Requested",IF(L9&gt;TODAY(),"Approved, not started",IF(M9&lt;TODAY(),"EXPIRED",IF(M9-TODAY()&lt;=30,"Expiring (30 days or less)","Active")))))))</f>
        <v/>
      </c>
      <c r="P9" s="5"/>
      <c r="Q9" s="5"/>
      <c r="R9" s="6"/>
      <c r="S9" s="6"/>
      <c r="T9" s="8" t="str">
        <f aca="true">IF(AND(P9&lt;&gt;"",Q9="",K9&lt;&gt;"Denied",P9&lt;TODAY()),"Review overdue","")</f>
        <v/>
      </c>
    </row>
    <row r="10" customFormat="false" ht="15" hidden="false" customHeight="false" outlineLevel="0" collapsed="false">
      <c r="A10" s="4"/>
      <c r="B10" s="5"/>
      <c r="C10" s="6"/>
      <c r="D10" s="6"/>
      <c r="E10" s="6"/>
      <c r="F10" s="6"/>
      <c r="G10" s="4"/>
      <c r="H10" s="4"/>
      <c r="I10" s="4"/>
      <c r="J10" s="6"/>
      <c r="K10" s="6"/>
      <c r="L10" s="5"/>
      <c r="M10" s="5"/>
      <c r="N10" s="7" t="str">
        <f aca="true">IF(OR(M10="",Q10&lt;&gt;""),"",M10-TODAY())</f>
        <v/>
      </c>
      <c r="O10" s="8" t="str">
        <f aca="true">IF(A10="","",IF(K10="Denied","Denied",IF(Q10&lt;&gt;"","Closed",IF(L10="","Requested",IF(L10&gt;TODAY(),"Approved, not started",IF(M10&lt;TODAY(),"EXPIRED",IF(M10-TODAY()&lt;=30,"Expiring (30 days or less)","Active")))))))</f>
        <v/>
      </c>
      <c r="P10" s="5"/>
      <c r="Q10" s="5"/>
      <c r="R10" s="6"/>
      <c r="S10" s="6"/>
      <c r="T10" s="8" t="str">
        <f aca="true">IF(AND(P10&lt;&gt;"",Q10="",K10&lt;&gt;"Denied",P10&lt;TODAY()),"Review overdue","")</f>
        <v/>
      </c>
    </row>
    <row r="11" customFormat="false" ht="15" hidden="false" customHeight="false" outlineLevel="0" collapsed="false">
      <c r="A11" s="4"/>
      <c r="B11" s="5"/>
      <c r="C11" s="6"/>
      <c r="D11" s="6"/>
      <c r="E11" s="6"/>
      <c r="F11" s="6"/>
      <c r="G11" s="4"/>
      <c r="H11" s="4"/>
      <c r="I11" s="4"/>
      <c r="J11" s="6"/>
      <c r="K11" s="6"/>
      <c r="L11" s="5"/>
      <c r="M11" s="5"/>
      <c r="N11" s="7" t="str">
        <f aca="true">IF(OR(M11="",Q11&lt;&gt;""),"",M11-TODAY())</f>
        <v/>
      </c>
      <c r="O11" s="8" t="str">
        <f aca="true">IF(A11="","",IF(K11="Denied","Denied",IF(Q11&lt;&gt;"","Closed",IF(L11="","Requested",IF(L11&gt;TODAY(),"Approved, not started",IF(M11&lt;TODAY(),"EXPIRED",IF(M11-TODAY()&lt;=30,"Expiring (30 days or less)","Active")))))))</f>
        <v/>
      </c>
      <c r="P11" s="5"/>
      <c r="Q11" s="5"/>
      <c r="R11" s="6"/>
      <c r="S11" s="6"/>
      <c r="T11" s="8" t="str">
        <f aca="true">IF(AND(P11&lt;&gt;"",Q11="",K11&lt;&gt;"Denied",P11&lt;TODAY()),"Review overdue","")</f>
        <v/>
      </c>
    </row>
    <row r="12" customFormat="false" ht="15" hidden="false" customHeight="false" outlineLevel="0" collapsed="false">
      <c r="A12" s="4"/>
      <c r="B12" s="5"/>
      <c r="C12" s="6"/>
      <c r="D12" s="6"/>
      <c r="E12" s="6"/>
      <c r="F12" s="6"/>
      <c r="G12" s="4"/>
      <c r="H12" s="4"/>
      <c r="I12" s="4"/>
      <c r="J12" s="6"/>
      <c r="K12" s="6"/>
      <c r="L12" s="5"/>
      <c r="M12" s="5"/>
      <c r="N12" s="7" t="str">
        <f aca="true">IF(OR(M12="",Q12&lt;&gt;""),"",M12-TODAY())</f>
        <v/>
      </c>
      <c r="O12" s="8" t="str">
        <f aca="true">IF(A12="","",IF(K12="Denied","Denied",IF(Q12&lt;&gt;"","Closed",IF(L12="","Requested",IF(L12&gt;TODAY(),"Approved, not started",IF(M12&lt;TODAY(),"EXPIRED",IF(M12-TODAY()&lt;=30,"Expiring (30 days or less)","Active")))))))</f>
        <v/>
      </c>
      <c r="P12" s="5"/>
      <c r="Q12" s="5"/>
      <c r="R12" s="6"/>
      <c r="S12" s="6"/>
      <c r="T12" s="8" t="str">
        <f aca="true">IF(AND(P12&lt;&gt;"",Q12="",K12&lt;&gt;"Denied",P12&lt;TODAY()),"Review overdue","")</f>
        <v/>
      </c>
    </row>
    <row r="13" customFormat="false" ht="15" hidden="false" customHeight="false" outlineLevel="0" collapsed="false">
      <c r="A13" s="4"/>
      <c r="B13" s="5"/>
      <c r="C13" s="6"/>
      <c r="D13" s="6"/>
      <c r="E13" s="6"/>
      <c r="F13" s="6"/>
      <c r="G13" s="4"/>
      <c r="H13" s="4"/>
      <c r="I13" s="4"/>
      <c r="J13" s="6"/>
      <c r="K13" s="6"/>
      <c r="L13" s="5"/>
      <c r="M13" s="5"/>
      <c r="N13" s="7" t="str">
        <f aca="true">IF(OR(M13="",Q13&lt;&gt;""),"",M13-TODAY())</f>
        <v/>
      </c>
      <c r="O13" s="8" t="str">
        <f aca="true">IF(A13="","",IF(K13="Denied","Denied",IF(Q13&lt;&gt;"","Closed",IF(L13="","Requested",IF(L13&gt;TODAY(),"Approved, not started",IF(M13&lt;TODAY(),"EXPIRED",IF(M13-TODAY()&lt;=30,"Expiring (30 days or less)","Active")))))))</f>
        <v/>
      </c>
      <c r="P13" s="5"/>
      <c r="Q13" s="5"/>
      <c r="R13" s="6"/>
      <c r="S13" s="6"/>
      <c r="T13" s="8" t="str">
        <f aca="true">IF(AND(P13&lt;&gt;"",Q13="",K13&lt;&gt;"Denied",P13&lt;TODAY()),"Review overdue","")</f>
        <v/>
      </c>
    </row>
    <row r="14" customFormat="false" ht="15" hidden="false" customHeight="false" outlineLevel="0" collapsed="false">
      <c r="A14" s="4"/>
      <c r="B14" s="5"/>
      <c r="C14" s="6"/>
      <c r="D14" s="6"/>
      <c r="E14" s="6"/>
      <c r="F14" s="6"/>
      <c r="G14" s="4"/>
      <c r="H14" s="4"/>
      <c r="I14" s="4"/>
      <c r="J14" s="6"/>
      <c r="K14" s="6"/>
      <c r="L14" s="5"/>
      <c r="M14" s="5"/>
      <c r="N14" s="7" t="str">
        <f aca="true">IF(OR(M14="",Q14&lt;&gt;""),"",M14-TODAY())</f>
        <v/>
      </c>
      <c r="O14" s="8" t="str">
        <f aca="true">IF(A14="","",IF(K14="Denied","Denied",IF(Q14&lt;&gt;"","Closed",IF(L14="","Requested",IF(L14&gt;TODAY(),"Approved, not started",IF(M14&lt;TODAY(),"EXPIRED",IF(M14-TODAY()&lt;=30,"Expiring (30 days or less)","Active")))))))</f>
        <v/>
      </c>
      <c r="P14" s="5"/>
      <c r="Q14" s="5"/>
      <c r="R14" s="6"/>
      <c r="S14" s="6"/>
      <c r="T14" s="8" t="str">
        <f aca="true">IF(AND(P14&lt;&gt;"",Q14="",K14&lt;&gt;"Denied",P14&lt;TODAY()),"Review overdue","")</f>
        <v/>
      </c>
    </row>
    <row r="15" customFormat="false" ht="15" hidden="false" customHeight="false" outlineLevel="0" collapsed="false">
      <c r="A15" s="4"/>
      <c r="B15" s="5"/>
      <c r="C15" s="6"/>
      <c r="D15" s="6"/>
      <c r="E15" s="6"/>
      <c r="F15" s="6"/>
      <c r="G15" s="4"/>
      <c r="H15" s="4"/>
      <c r="I15" s="4"/>
      <c r="J15" s="6"/>
      <c r="K15" s="6"/>
      <c r="L15" s="5"/>
      <c r="M15" s="5"/>
      <c r="N15" s="7" t="str">
        <f aca="true">IF(OR(M15="",Q15&lt;&gt;""),"",M15-TODAY())</f>
        <v/>
      </c>
      <c r="O15" s="8" t="str">
        <f aca="true">IF(A15="","",IF(K15="Denied","Denied",IF(Q15&lt;&gt;"","Closed",IF(L15="","Requested",IF(L15&gt;TODAY(),"Approved, not started",IF(M15&lt;TODAY(),"EXPIRED",IF(M15-TODAY()&lt;=30,"Expiring (30 days or less)","Active")))))))</f>
        <v/>
      </c>
      <c r="P15" s="5"/>
      <c r="Q15" s="5"/>
      <c r="R15" s="6"/>
      <c r="S15" s="6"/>
      <c r="T15" s="8" t="str">
        <f aca="true">IF(AND(P15&lt;&gt;"",Q15="",K15&lt;&gt;"Denied",P15&lt;TODAY()),"Review overdue","")</f>
        <v/>
      </c>
    </row>
    <row r="16" customFormat="false" ht="15" hidden="false" customHeight="false" outlineLevel="0" collapsed="false">
      <c r="A16" s="4"/>
      <c r="B16" s="5"/>
      <c r="C16" s="6"/>
      <c r="D16" s="6"/>
      <c r="E16" s="6"/>
      <c r="F16" s="6"/>
      <c r="G16" s="4"/>
      <c r="H16" s="4"/>
      <c r="I16" s="4"/>
      <c r="J16" s="6"/>
      <c r="K16" s="6"/>
      <c r="L16" s="5"/>
      <c r="M16" s="5"/>
      <c r="N16" s="7" t="str">
        <f aca="true">IF(OR(M16="",Q16&lt;&gt;""),"",M16-TODAY())</f>
        <v/>
      </c>
      <c r="O16" s="8" t="str">
        <f aca="true">IF(A16="","",IF(K16="Denied","Denied",IF(Q16&lt;&gt;"","Closed",IF(L16="","Requested",IF(L16&gt;TODAY(),"Approved, not started",IF(M16&lt;TODAY(),"EXPIRED",IF(M16-TODAY()&lt;=30,"Expiring (30 days or less)","Active")))))))</f>
        <v/>
      </c>
      <c r="P16" s="5"/>
      <c r="Q16" s="5"/>
      <c r="R16" s="6"/>
      <c r="S16" s="6"/>
      <c r="T16" s="8" t="str">
        <f aca="true">IF(AND(P16&lt;&gt;"",Q16="",K16&lt;&gt;"Denied",P16&lt;TODAY()),"Review overdue","")</f>
        <v/>
      </c>
    </row>
    <row r="17" customFormat="false" ht="15" hidden="false" customHeight="false" outlineLevel="0" collapsed="false">
      <c r="A17" s="4"/>
      <c r="B17" s="5"/>
      <c r="C17" s="6"/>
      <c r="D17" s="6"/>
      <c r="E17" s="6"/>
      <c r="F17" s="6"/>
      <c r="G17" s="4"/>
      <c r="H17" s="4"/>
      <c r="I17" s="4"/>
      <c r="J17" s="6"/>
      <c r="K17" s="6"/>
      <c r="L17" s="5"/>
      <c r="M17" s="5"/>
      <c r="N17" s="7" t="str">
        <f aca="true">IF(OR(M17="",Q17&lt;&gt;""),"",M17-TODAY())</f>
        <v/>
      </c>
      <c r="O17" s="8" t="str">
        <f aca="true">IF(A17="","",IF(K17="Denied","Denied",IF(Q17&lt;&gt;"","Closed",IF(L17="","Requested",IF(L17&gt;TODAY(),"Approved, not started",IF(M17&lt;TODAY(),"EXPIRED",IF(M17-TODAY()&lt;=30,"Expiring (30 days or less)","Active")))))))</f>
        <v/>
      </c>
      <c r="P17" s="5"/>
      <c r="Q17" s="5"/>
      <c r="R17" s="6"/>
      <c r="S17" s="6"/>
      <c r="T17" s="8" t="str">
        <f aca="true">IF(AND(P17&lt;&gt;"",Q17="",K17&lt;&gt;"Denied",P17&lt;TODAY()),"Review overdue","")</f>
        <v/>
      </c>
    </row>
    <row r="18" customFormat="false" ht="15" hidden="false" customHeight="false" outlineLevel="0" collapsed="false">
      <c r="A18" s="4"/>
      <c r="B18" s="5"/>
      <c r="C18" s="6"/>
      <c r="D18" s="6"/>
      <c r="E18" s="6"/>
      <c r="F18" s="6"/>
      <c r="G18" s="4"/>
      <c r="H18" s="4"/>
      <c r="I18" s="4"/>
      <c r="J18" s="6"/>
      <c r="K18" s="6"/>
      <c r="L18" s="5"/>
      <c r="M18" s="5"/>
      <c r="N18" s="7" t="str">
        <f aca="true">IF(OR(M18="",Q18&lt;&gt;""),"",M18-TODAY())</f>
        <v/>
      </c>
      <c r="O18" s="8" t="str">
        <f aca="true">IF(A18="","",IF(K18="Denied","Denied",IF(Q18&lt;&gt;"","Closed",IF(L18="","Requested",IF(L18&gt;TODAY(),"Approved, not started",IF(M18&lt;TODAY(),"EXPIRED",IF(M18-TODAY()&lt;=30,"Expiring (30 days or less)","Active")))))))</f>
        <v/>
      </c>
      <c r="P18" s="5"/>
      <c r="Q18" s="5"/>
      <c r="R18" s="6"/>
      <c r="S18" s="6"/>
      <c r="T18" s="8" t="str">
        <f aca="true">IF(AND(P18&lt;&gt;"",Q18="",K18&lt;&gt;"Denied",P18&lt;TODAY()),"Review overdue","")</f>
        <v/>
      </c>
    </row>
    <row r="19" customFormat="false" ht="15" hidden="false" customHeight="false" outlineLevel="0" collapsed="false">
      <c r="A19" s="4"/>
      <c r="B19" s="5"/>
      <c r="C19" s="6"/>
      <c r="D19" s="6"/>
      <c r="E19" s="6"/>
      <c r="F19" s="6"/>
      <c r="G19" s="4"/>
      <c r="H19" s="4"/>
      <c r="I19" s="4"/>
      <c r="J19" s="6"/>
      <c r="K19" s="6"/>
      <c r="L19" s="5"/>
      <c r="M19" s="5"/>
      <c r="N19" s="7" t="str">
        <f aca="true">IF(OR(M19="",Q19&lt;&gt;""),"",M19-TODAY())</f>
        <v/>
      </c>
      <c r="O19" s="8" t="str">
        <f aca="true">IF(A19="","",IF(K19="Denied","Denied",IF(Q19&lt;&gt;"","Closed",IF(L19="","Requested",IF(L19&gt;TODAY(),"Approved, not started",IF(M19&lt;TODAY(),"EXPIRED",IF(M19-TODAY()&lt;=30,"Expiring (30 days or less)","Active")))))))</f>
        <v/>
      </c>
      <c r="P19" s="5"/>
      <c r="Q19" s="5"/>
      <c r="R19" s="6"/>
      <c r="S19" s="6"/>
      <c r="T19" s="8" t="str">
        <f aca="true">IF(AND(P19&lt;&gt;"",Q19="",K19&lt;&gt;"Denied",P19&lt;TODAY()),"Review overdue","")</f>
        <v/>
      </c>
    </row>
    <row r="20" customFormat="false" ht="15" hidden="false" customHeight="false" outlineLevel="0" collapsed="false">
      <c r="A20" s="4"/>
      <c r="B20" s="5"/>
      <c r="C20" s="6"/>
      <c r="D20" s="6"/>
      <c r="E20" s="6"/>
      <c r="F20" s="6"/>
      <c r="G20" s="4"/>
      <c r="H20" s="4"/>
      <c r="I20" s="4"/>
      <c r="J20" s="6"/>
      <c r="K20" s="6"/>
      <c r="L20" s="5"/>
      <c r="M20" s="5"/>
      <c r="N20" s="7" t="str">
        <f aca="true">IF(OR(M20="",Q20&lt;&gt;""),"",M20-TODAY())</f>
        <v/>
      </c>
      <c r="O20" s="8" t="str">
        <f aca="true">IF(A20="","",IF(K20="Denied","Denied",IF(Q20&lt;&gt;"","Closed",IF(L20="","Requested",IF(L20&gt;TODAY(),"Approved, not started",IF(M20&lt;TODAY(),"EXPIRED",IF(M20-TODAY()&lt;=30,"Expiring (30 days or less)","Active")))))))</f>
        <v/>
      </c>
      <c r="P20" s="5"/>
      <c r="Q20" s="5"/>
      <c r="R20" s="6"/>
      <c r="S20" s="6"/>
      <c r="T20" s="8" t="str">
        <f aca="true">IF(AND(P20&lt;&gt;"",Q20="",K20&lt;&gt;"Denied",P20&lt;TODAY()),"Review overdue","")</f>
        <v/>
      </c>
    </row>
    <row r="21" customFormat="false" ht="15" hidden="false" customHeight="false" outlineLevel="0" collapsed="false">
      <c r="A21" s="4"/>
      <c r="B21" s="5"/>
      <c r="C21" s="6"/>
      <c r="D21" s="6"/>
      <c r="E21" s="6"/>
      <c r="F21" s="6"/>
      <c r="G21" s="4"/>
      <c r="H21" s="4"/>
      <c r="I21" s="4"/>
      <c r="J21" s="6"/>
      <c r="K21" s="6"/>
      <c r="L21" s="5"/>
      <c r="M21" s="5"/>
      <c r="N21" s="7" t="str">
        <f aca="true">IF(OR(M21="",Q21&lt;&gt;""),"",M21-TODAY())</f>
        <v/>
      </c>
      <c r="O21" s="8" t="str">
        <f aca="true">IF(A21="","",IF(K21="Denied","Denied",IF(Q21&lt;&gt;"","Closed",IF(L21="","Requested",IF(L21&gt;TODAY(),"Approved, not started",IF(M21&lt;TODAY(),"EXPIRED",IF(M21-TODAY()&lt;=30,"Expiring (30 days or less)","Active")))))))</f>
        <v/>
      </c>
      <c r="P21" s="5"/>
      <c r="Q21" s="5"/>
      <c r="R21" s="6"/>
      <c r="S21" s="6"/>
      <c r="T21" s="8" t="str">
        <f aca="true">IF(AND(P21&lt;&gt;"",Q21="",K21&lt;&gt;"Denied",P21&lt;TODAY()),"Review overdue","")</f>
        <v/>
      </c>
    </row>
    <row r="22" customFormat="false" ht="15" hidden="false" customHeight="false" outlineLevel="0" collapsed="false">
      <c r="A22" s="4"/>
      <c r="B22" s="5"/>
      <c r="C22" s="6"/>
      <c r="D22" s="6"/>
      <c r="E22" s="6"/>
      <c r="F22" s="6"/>
      <c r="G22" s="4"/>
      <c r="H22" s="4"/>
      <c r="I22" s="4"/>
      <c r="J22" s="6"/>
      <c r="K22" s="6"/>
      <c r="L22" s="5"/>
      <c r="M22" s="5"/>
      <c r="N22" s="7" t="str">
        <f aca="true">IF(OR(M22="",Q22&lt;&gt;""),"",M22-TODAY())</f>
        <v/>
      </c>
      <c r="O22" s="8" t="str">
        <f aca="true">IF(A22="","",IF(K22="Denied","Denied",IF(Q22&lt;&gt;"","Closed",IF(L22="","Requested",IF(L22&gt;TODAY(),"Approved, not started",IF(M22&lt;TODAY(),"EXPIRED",IF(M22-TODAY()&lt;=30,"Expiring (30 days or less)","Active")))))))</f>
        <v/>
      </c>
      <c r="P22" s="5"/>
      <c r="Q22" s="5"/>
      <c r="R22" s="6"/>
      <c r="S22" s="6"/>
      <c r="T22" s="8" t="str">
        <f aca="true">IF(AND(P22&lt;&gt;"",Q22="",K22&lt;&gt;"Denied",P22&lt;TODAY()),"Review overdue","")</f>
        <v/>
      </c>
    </row>
    <row r="23" customFormat="false" ht="15" hidden="false" customHeight="false" outlineLevel="0" collapsed="false">
      <c r="A23" s="4"/>
      <c r="B23" s="5"/>
      <c r="C23" s="6"/>
      <c r="D23" s="6"/>
      <c r="E23" s="6"/>
      <c r="F23" s="6"/>
      <c r="G23" s="4"/>
      <c r="H23" s="4"/>
      <c r="I23" s="4"/>
      <c r="J23" s="6"/>
      <c r="K23" s="6"/>
      <c r="L23" s="5"/>
      <c r="M23" s="5"/>
      <c r="N23" s="7" t="str">
        <f aca="true">IF(OR(M23="",Q23&lt;&gt;""),"",M23-TODAY())</f>
        <v/>
      </c>
      <c r="O23" s="8" t="str">
        <f aca="true">IF(A23="","",IF(K23="Denied","Denied",IF(Q23&lt;&gt;"","Closed",IF(L23="","Requested",IF(L23&gt;TODAY(),"Approved, not started",IF(M23&lt;TODAY(),"EXPIRED",IF(M23-TODAY()&lt;=30,"Expiring (30 days or less)","Active")))))))</f>
        <v/>
      </c>
      <c r="P23" s="5"/>
      <c r="Q23" s="5"/>
      <c r="R23" s="6"/>
      <c r="S23" s="6"/>
      <c r="T23" s="8" t="str">
        <f aca="true">IF(AND(P23&lt;&gt;"",Q23="",K23&lt;&gt;"Denied",P23&lt;TODAY()),"Review overdue","")</f>
        <v/>
      </c>
    </row>
    <row r="24" customFormat="false" ht="15" hidden="false" customHeight="false" outlineLevel="0" collapsed="false">
      <c r="A24" s="4"/>
      <c r="B24" s="5"/>
      <c r="C24" s="6"/>
      <c r="D24" s="6"/>
      <c r="E24" s="6"/>
      <c r="F24" s="6"/>
      <c r="G24" s="4"/>
      <c r="H24" s="4"/>
      <c r="I24" s="4"/>
      <c r="J24" s="6"/>
      <c r="K24" s="6"/>
      <c r="L24" s="5"/>
      <c r="M24" s="5"/>
      <c r="N24" s="7" t="str">
        <f aca="true">IF(OR(M24="",Q24&lt;&gt;""),"",M24-TODAY())</f>
        <v/>
      </c>
      <c r="O24" s="8" t="str">
        <f aca="true">IF(A24="","",IF(K24="Denied","Denied",IF(Q24&lt;&gt;"","Closed",IF(L24="","Requested",IF(L24&gt;TODAY(),"Approved, not started",IF(M24&lt;TODAY(),"EXPIRED",IF(M24-TODAY()&lt;=30,"Expiring (30 days or less)","Active")))))))</f>
        <v/>
      </c>
      <c r="P24" s="5"/>
      <c r="Q24" s="5"/>
      <c r="R24" s="6"/>
      <c r="S24" s="6"/>
      <c r="T24" s="8" t="str">
        <f aca="true">IF(AND(P24&lt;&gt;"",Q24="",K24&lt;&gt;"Denied",P24&lt;TODAY()),"Review overdue","")</f>
        <v/>
      </c>
    </row>
    <row r="25" customFormat="false" ht="15" hidden="false" customHeight="false" outlineLevel="0" collapsed="false">
      <c r="A25" s="4"/>
      <c r="B25" s="5"/>
      <c r="C25" s="6"/>
      <c r="D25" s="6"/>
      <c r="E25" s="6"/>
      <c r="F25" s="6"/>
      <c r="G25" s="4"/>
      <c r="H25" s="4"/>
      <c r="I25" s="4"/>
      <c r="J25" s="6"/>
      <c r="K25" s="6"/>
      <c r="L25" s="5"/>
      <c r="M25" s="5"/>
      <c r="N25" s="7" t="str">
        <f aca="true">IF(OR(M25="",Q25&lt;&gt;""),"",M25-TODAY())</f>
        <v/>
      </c>
      <c r="O25" s="8" t="str">
        <f aca="true">IF(A25="","",IF(K25="Denied","Denied",IF(Q25&lt;&gt;"","Closed",IF(L25="","Requested",IF(L25&gt;TODAY(),"Approved, not started",IF(M25&lt;TODAY(),"EXPIRED",IF(M25-TODAY()&lt;=30,"Expiring (30 days or less)","Active")))))))</f>
        <v/>
      </c>
      <c r="P25" s="5"/>
      <c r="Q25" s="5"/>
      <c r="R25" s="6"/>
      <c r="S25" s="6"/>
      <c r="T25" s="8" t="str">
        <f aca="true">IF(AND(P25&lt;&gt;"",Q25="",K25&lt;&gt;"Denied",P25&lt;TODAY()),"Review overdue","")</f>
        <v/>
      </c>
    </row>
    <row r="26" customFormat="false" ht="15" hidden="false" customHeight="false" outlineLevel="0" collapsed="false">
      <c r="A26" s="4"/>
      <c r="B26" s="5"/>
      <c r="C26" s="6"/>
      <c r="D26" s="6"/>
      <c r="E26" s="6"/>
      <c r="F26" s="6"/>
      <c r="G26" s="4"/>
      <c r="H26" s="4"/>
      <c r="I26" s="4"/>
      <c r="J26" s="6"/>
      <c r="K26" s="6"/>
      <c r="L26" s="5"/>
      <c r="M26" s="5"/>
      <c r="N26" s="7" t="str">
        <f aca="true">IF(OR(M26="",Q26&lt;&gt;""),"",M26-TODAY())</f>
        <v/>
      </c>
      <c r="O26" s="8" t="str">
        <f aca="true">IF(A26="","",IF(K26="Denied","Denied",IF(Q26&lt;&gt;"","Closed",IF(L26="","Requested",IF(L26&gt;TODAY(),"Approved, not started",IF(M26&lt;TODAY(),"EXPIRED",IF(M26-TODAY()&lt;=30,"Expiring (30 days or less)","Active")))))))</f>
        <v/>
      </c>
      <c r="P26" s="5"/>
      <c r="Q26" s="5"/>
      <c r="R26" s="6"/>
      <c r="S26" s="6"/>
      <c r="T26" s="8" t="str">
        <f aca="true">IF(AND(P26&lt;&gt;"",Q26="",K26&lt;&gt;"Denied",P26&lt;TODAY()),"Review overdue","")</f>
        <v/>
      </c>
    </row>
    <row r="27" customFormat="false" ht="15" hidden="false" customHeight="false" outlineLevel="0" collapsed="false">
      <c r="A27" s="4"/>
      <c r="B27" s="5"/>
      <c r="C27" s="6"/>
      <c r="D27" s="6"/>
      <c r="E27" s="6"/>
      <c r="F27" s="6"/>
      <c r="G27" s="4"/>
      <c r="H27" s="4"/>
      <c r="I27" s="4"/>
      <c r="J27" s="6"/>
      <c r="K27" s="6"/>
      <c r="L27" s="5"/>
      <c r="M27" s="5"/>
      <c r="N27" s="7" t="str">
        <f aca="true">IF(OR(M27="",Q27&lt;&gt;""),"",M27-TODAY())</f>
        <v/>
      </c>
      <c r="O27" s="8" t="str">
        <f aca="true">IF(A27="","",IF(K27="Denied","Denied",IF(Q27&lt;&gt;"","Closed",IF(L27="","Requested",IF(L27&gt;TODAY(),"Approved, not started",IF(M27&lt;TODAY(),"EXPIRED",IF(M27-TODAY()&lt;=30,"Expiring (30 days or less)","Active")))))))</f>
        <v/>
      </c>
      <c r="P27" s="5"/>
      <c r="Q27" s="5"/>
      <c r="R27" s="6"/>
      <c r="S27" s="6"/>
      <c r="T27" s="8" t="str">
        <f aca="true">IF(AND(P27&lt;&gt;"",Q27="",K27&lt;&gt;"Denied",P27&lt;TODAY()),"Review overdue","")</f>
        <v/>
      </c>
    </row>
    <row r="28" customFormat="false" ht="15" hidden="false" customHeight="false" outlineLevel="0" collapsed="false">
      <c r="A28" s="4"/>
      <c r="B28" s="5"/>
      <c r="C28" s="6"/>
      <c r="D28" s="6"/>
      <c r="E28" s="6"/>
      <c r="F28" s="6"/>
      <c r="G28" s="4"/>
      <c r="H28" s="4"/>
      <c r="I28" s="4"/>
      <c r="J28" s="6"/>
      <c r="K28" s="6"/>
      <c r="L28" s="5"/>
      <c r="M28" s="5"/>
      <c r="N28" s="7" t="str">
        <f aca="true">IF(OR(M28="",Q28&lt;&gt;""),"",M28-TODAY())</f>
        <v/>
      </c>
      <c r="O28" s="8" t="str">
        <f aca="true">IF(A28="","",IF(K28="Denied","Denied",IF(Q28&lt;&gt;"","Closed",IF(L28="","Requested",IF(L28&gt;TODAY(),"Approved, not started",IF(M28&lt;TODAY(),"EXPIRED",IF(M28-TODAY()&lt;=30,"Expiring (30 days or less)","Active")))))))</f>
        <v/>
      </c>
      <c r="P28" s="5"/>
      <c r="Q28" s="5"/>
      <c r="R28" s="6"/>
      <c r="S28" s="6"/>
      <c r="T28" s="8" t="str">
        <f aca="true">IF(AND(P28&lt;&gt;"",Q28="",K28&lt;&gt;"Denied",P28&lt;TODAY()),"Review overdue","")</f>
        <v/>
      </c>
    </row>
    <row r="29" customFormat="false" ht="15" hidden="false" customHeight="false" outlineLevel="0" collapsed="false">
      <c r="A29" s="4"/>
      <c r="B29" s="5"/>
      <c r="C29" s="6"/>
      <c r="D29" s="6"/>
      <c r="E29" s="6"/>
      <c r="F29" s="6"/>
      <c r="G29" s="4"/>
      <c r="H29" s="4"/>
      <c r="I29" s="4"/>
      <c r="J29" s="6"/>
      <c r="K29" s="6"/>
      <c r="L29" s="5"/>
      <c r="M29" s="5"/>
      <c r="N29" s="7" t="str">
        <f aca="true">IF(OR(M29="",Q29&lt;&gt;""),"",M29-TODAY())</f>
        <v/>
      </c>
      <c r="O29" s="8" t="str">
        <f aca="true">IF(A29="","",IF(K29="Denied","Denied",IF(Q29&lt;&gt;"","Closed",IF(L29="","Requested",IF(L29&gt;TODAY(),"Approved, not started",IF(M29&lt;TODAY(),"EXPIRED",IF(M29-TODAY()&lt;=30,"Expiring (30 days or less)","Active")))))))</f>
        <v/>
      </c>
      <c r="P29" s="5"/>
      <c r="Q29" s="5"/>
      <c r="R29" s="6"/>
      <c r="S29" s="6"/>
      <c r="T29" s="8" t="str">
        <f aca="true">IF(AND(P29&lt;&gt;"",Q29="",K29&lt;&gt;"Denied",P29&lt;TODAY()),"Review overdue","")</f>
        <v/>
      </c>
    </row>
    <row r="30" customFormat="false" ht="15" hidden="false" customHeight="false" outlineLevel="0" collapsed="false">
      <c r="A30" s="4"/>
      <c r="B30" s="5"/>
      <c r="C30" s="6"/>
      <c r="D30" s="6"/>
      <c r="E30" s="6"/>
      <c r="F30" s="6"/>
      <c r="G30" s="4"/>
      <c r="H30" s="4"/>
      <c r="I30" s="4"/>
      <c r="J30" s="6"/>
      <c r="K30" s="6"/>
      <c r="L30" s="5"/>
      <c r="M30" s="5"/>
      <c r="N30" s="7" t="str">
        <f aca="true">IF(OR(M30="",Q30&lt;&gt;""),"",M30-TODAY())</f>
        <v/>
      </c>
      <c r="O30" s="8" t="str">
        <f aca="true">IF(A30="","",IF(K30="Denied","Denied",IF(Q30&lt;&gt;"","Closed",IF(L30="","Requested",IF(L30&gt;TODAY(),"Approved, not started",IF(M30&lt;TODAY(),"EXPIRED",IF(M30-TODAY()&lt;=30,"Expiring (30 days or less)","Active")))))))</f>
        <v/>
      </c>
      <c r="P30" s="5"/>
      <c r="Q30" s="5"/>
      <c r="R30" s="6"/>
      <c r="S30" s="6"/>
      <c r="T30" s="8" t="str">
        <f aca="true">IF(AND(P30&lt;&gt;"",Q30="",K30&lt;&gt;"Denied",P30&lt;TODAY()),"Review overdue","")</f>
        <v/>
      </c>
    </row>
    <row r="31" customFormat="false" ht="15" hidden="false" customHeight="false" outlineLevel="0" collapsed="false">
      <c r="A31" s="4"/>
      <c r="B31" s="5"/>
      <c r="C31" s="6"/>
      <c r="D31" s="6"/>
      <c r="E31" s="6"/>
      <c r="F31" s="6"/>
      <c r="G31" s="4"/>
      <c r="H31" s="4"/>
      <c r="I31" s="4"/>
      <c r="J31" s="6"/>
      <c r="K31" s="6"/>
      <c r="L31" s="5"/>
      <c r="M31" s="5"/>
      <c r="N31" s="7" t="str">
        <f aca="true">IF(OR(M31="",Q31&lt;&gt;""),"",M31-TODAY())</f>
        <v/>
      </c>
      <c r="O31" s="8" t="str">
        <f aca="true">IF(A31="","",IF(K31="Denied","Denied",IF(Q31&lt;&gt;"","Closed",IF(L31="","Requested",IF(L31&gt;TODAY(),"Approved, not started",IF(M31&lt;TODAY(),"EXPIRED",IF(M31-TODAY()&lt;=30,"Expiring (30 days or less)","Active")))))))</f>
        <v/>
      </c>
      <c r="P31" s="5"/>
      <c r="Q31" s="5"/>
      <c r="R31" s="6"/>
      <c r="S31" s="6"/>
      <c r="T31" s="8" t="str">
        <f aca="true">IF(AND(P31&lt;&gt;"",Q31="",K31&lt;&gt;"Denied",P31&lt;TODAY()),"Review overdue","")</f>
        <v/>
      </c>
    </row>
    <row r="32" customFormat="false" ht="15" hidden="false" customHeight="false" outlineLevel="0" collapsed="false">
      <c r="A32" s="4"/>
      <c r="B32" s="5"/>
      <c r="C32" s="6"/>
      <c r="D32" s="6"/>
      <c r="E32" s="6"/>
      <c r="F32" s="6"/>
      <c r="G32" s="4"/>
      <c r="H32" s="4"/>
      <c r="I32" s="4"/>
      <c r="J32" s="6"/>
      <c r="K32" s="6"/>
      <c r="L32" s="5"/>
      <c r="M32" s="5"/>
      <c r="N32" s="7" t="str">
        <f aca="true">IF(OR(M32="",Q32&lt;&gt;""),"",M32-TODAY())</f>
        <v/>
      </c>
      <c r="O32" s="8" t="str">
        <f aca="true">IF(A32="","",IF(K32="Denied","Denied",IF(Q32&lt;&gt;"","Closed",IF(L32="","Requested",IF(L32&gt;TODAY(),"Approved, not started",IF(M32&lt;TODAY(),"EXPIRED",IF(M32-TODAY()&lt;=30,"Expiring (30 days or less)","Active")))))))</f>
        <v/>
      </c>
      <c r="P32" s="5"/>
      <c r="Q32" s="5"/>
      <c r="R32" s="6"/>
      <c r="S32" s="6"/>
      <c r="T32" s="8" t="str">
        <f aca="true">IF(AND(P32&lt;&gt;"",Q32="",K32&lt;&gt;"Denied",P32&lt;TODAY()),"Review overdue","")</f>
        <v/>
      </c>
    </row>
    <row r="33" customFormat="false" ht="15" hidden="false" customHeight="false" outlineLevel="0" collapsed="false">
      <c r="A33" s="4"/>
      <c r="B33" s="5"/>
      <c r="C33" s="6"/>
      <c r="D33" s="6"/>
      <c r="E33" s="6"/>
      <c r="F33" s="6"/>
      <c r="G33" s="4"/>
      <c r="H33" s="4"/>
      <c r="I33" s="4"/>
      <c r="J33" s="6"/>
      <c r="K33" s="6"/>
      <c r="L33" s="5"/>
      <c r="M33" s="5"/>
      <c r="N33" s="7" t="str">
        <f aca="true">IF(OR(M33="",Q33&lt;&gt;""),"",M33-TODAY())</f>
        <v/>
      </c>
      <c r="O33" s="8" t="str">
        <f aca="true">IF(A33="","",IF(K33="Denied","Denied",IF(Q33&lt;&gt;"","Closed",IF(L33="","Requested",IF(L33&gt;TODAY(),"Approved, not started",IF(M33&lt;TODAY(),"EXPIRED",IF(M33-TODAY()&lt;=30,"Expiring (30 days or less)","Active")))))))</f>
        <v/>
      </c>
      <c r="P33" s="5"/>
      <c r="Q33" s="5"/>
      <c r="R33" s="6"/>
      <c r="S33" s="6"/>
      <c r="T33" s="8" t="str">
        <f aca="true">IF(AND(P33&lt;&gt;"",Q33="",K33&lt;&gt;"Denied",P33&lt;TODAY()),"Review overdue","")</f>
        <v/>
      </c>
    </row>
    <row r="34" customFormat="false" ht="15" hidden="false" customHeight="false" outlineLevel="0" collapsed="false">
      <c r="A34" s="4"/>
      <c r="B34" s="5"/>
      <c r="C34" s="6"/>
      <c r="D34" s="6"/>
      <c r="E34" s="6"/>
      <c r="F34" s="6"/>
      <c r="G34" s="4"/>
      <c r="H34" s="4"/>
      <c r="I34" s="4"/>
      <c r="J34" s="6"/>
      <c r="K34" s="6"/>
      <c r="L34" s="5"/>
      <c r="M34" s="5"/>
      <c r="N34" s="7" t="str">
        <f aca="true">IF(OR(M34="",Q34&lt;&gt;""),"",M34-TODAY())</f>
        <v/>
      </c>
      <c r="O34" s="8" t="str">
        <f aca="true">IF(A34="","",IF(K34="Denied","Denied",IF(Q34&lt;&gt;"","Closed",IF(L34="","Requested",IF(L34&gt;TODAY(),"Approved, not started",IF(M34&lt;TODAY(),"EXPIRED",IF(M34-TODAY()&lt;=30,"Expiring (30 days or less)","Active")))))))</f>
        <v/>
      </c>
      <c r="P34" s="5"/>
      <c r="Q34" s="5"/>
      <c r="R34" s="6"/>
      <c r="S34" s="6"/>
      <c r="T34" s="8" t="str">
        <f aca="true">IF(AND(P34&lt;&gt;"",Q34="",K34&lt;&gt;"Denied",P34&lt;TODAY()),"Review overdue","")</f>
        <v/>
      </c>
    </row>
    <row r="35" customFormat="false" ht="15" hidden="false" customHeight="false" outlineLevel="0" collapsed="false">
      <c r="A35" s="4"/>
      <c r="B35" s="5"/>
      <c r="C35" s="6"/>
      <c r="D35" s="6"/>
      <c r="E35" s="6"/>
      <c r="F35" s="6"/>
      <c r="G35" s="4"/>
      <c r="H35" s="4"/>
      <c r="I35" s="4"/>
      <c r="J35" s="6"/>
      <c r="K35" s="6"/>
      <c r="L35" s="5"/>
      <c r="M35" s="5"/>
      <c r="N35" s="7" t="str">
        <f aca="true">IF(OR(M35="",Q35&lt;&gt;""),"",M35-TODAY())</f>
        <v/>
      </c>
      <c r="O35" s="8" t="str">
        <f aca="true">IF(A35="","",IF(K35="Denied","Denied",IF(Q35&lt;&gt;"","Closed",IF(L35="","Requested",IF(L35&gt;TODAY(),"Approved, not started",IF(M35&lt;TODAY(),"EXPIRED",IF(M35-TODAY()&lt;=30,"Expiring (30 days or less)","Active")))))))</f>
        <v/>
      </c>
      <c r="P35" s="5"/>
      <c r="Q35" s="5"/>
      <c r="R35" s="6"/>
      <c r="S35" s="6"/>
      <c r="T35" s="8" t="str">
        <f aca="true">IF(AND(P35&lt;&gt;"",Q35="",K35&lt;&gt;"Denied",P35&lt;TODAY()),"Review overdue","")</f>
        <v/>
      </c>
    </row>
    <row r="36" customFormat="false" ht="15" hidden="false" customHeight="false" outlineLevel="0" collapsed="false">
      <c r="A36" s="4"/>
      <c r="B36" s="5"/>
      <c r="C36" s="6"/>
      <c r="D36" s="6"/>
      <c r="E36" s="6"/>
      <c r="F36" s="6"/>
      <c r="G36" s="4"/>
      <c r="H36" s="4"/>
      <c r="I36" s="4"/>
      <c r="J36" s="6"/>
      <c r="K36" s="6"/>
      <c r="L36" s="5"/>
      <c r="M36" s="5"/>
      <c r="N36" s="7" t="str">
        <f aca="true">IF(OR(M36="",Q36&lt;&gt;""),"",M36-TODAY())</f>
        <v/>
      </c>
      <c r="O36" s="8" t="str">
        <f aca="true">IF(A36="","",IF(K36="Denied","Denied",IF(Q36&lt;&gt;"","Closed",IF(L36="","Requested",IF(L36&gt;TODAY(),"Approved, not started",IF(M36&lt;TODAY(),"EXPIRED",IF(M36-TODAY()&lt;=30,"Expiring (30 days or less)","Active")))))))</f>
        <v/>
      </c>
      <c r="P36" s="5"/>
      <c r="Q36" s="5"/>
      <c r="R36" s="6"/>
      <c r="S36" s="6"/>
      <c r="T36" s="8" t="str">
        <f aca="true">IF(AND(P36&lt;&gt;"",Q36="",K36&lt;&gt;"Denied",P36&lt;TODAY()),"Review overdue","")</f>
        <v/>
      </c>
    </row>
    <row r="37" customFormat="false" ht="15" hidden="false" customHeight="false" outlineLevel="0" collapsed="false">
      <c r="A37" s="4"/>
      <c r="B37" s="5"/>
      <c r="C37" s="6"/>
      <c r="D37" s="6"/>
      <c r="E37" s="6"/>
      <c r="F37" s="6"/>
      <c r="G37" s="4"/>
      <c r="H37" s="4"/>
      <c r="I37" s="4"/>
      <c r="J37" s="6"/>
      <c r="K37" s="6"/>
      <c r="L37" s="5"/>
      <c r="M37" s="5"/>
      <c r="N37" s="7" t="str">
        <f aca="true">IF(OR(M37="",Q37&lt;&gt;""),"",M37-TODAY())</f>
        <v/>
      </c>
      <c r="O37" s="8" t="str">
        <f aca="true">IF(A37="","",IF(K37="Denied","Denied",IF(Q37&lt;&gt;"","Closed",IF(L37="","Requested",IF(L37&gt;TODAY(),"Approved, not started",IF(M37&lt;TODAY(),"EXPIRED",IF(M37-TODAY()&lt;=30,"Expiring (30 days or less)","Active")))))))</f>
        <v/>
      </c>
      <c r="P37" s="5"/>
      <c r="Q37" s="5"/>
      <c r="R37" s="6"/>
      <c r="S37" s="6"/>
      <c r="T37" s="8" t="str">
        <f aca="true">IF(AND(P37&lt;&gt;"",Q37="",K37&lt;&gt;"Denied",P37&lt;TODAY()),"Review overdue","")</f>
        <v/>
      </c>
    </row>
    <row r="38" customFormat="false" ht="15" hidden="false" customHeight="false" outlineLevel="0" collapsed="false">
      <c r="A38" s="4"/>
      <c r="B38" s="5"/>
      <c r="C38" s="6"/>
      <c r="D38" s="6"/>
      <c r="E38" s="6"/>
      <c r="F38" s="6"/>
      <c r="G38" s="4"/>
      <c r="H38" s="4"/>
      <c r="I38" s="4"/>
      <c r="J38" s="6"/>
      <c r="K38" s="6"/>
      <c r="L38" s="5"/>
      <c r="M38" s="5"/>
      <c r="N38" s="7" t="str">
        <f aca="true">IF(OR(M38="",Q38&lt;&gt;""),"",M38-TODAY())</f>
        <v/>
      </c>
      <c r="O38" s="8" t="str">
        <f aca="true">IF(A38="","",IF(K38="Denied","Denied",IF(Q38&lt;&gt;"","Closed",IF(L38="","Requested",IF(L38&gt;TODAY(),"Approved, not started",IF(M38&lt;TODAY(),"EXPIRED",IF(M38-TODAY()&lt;=30,"Expiring (30 days or less)","Active")))))))</f>
        <v/>
      </c>
      <c r="P38" s="5"/>
      <c r="Q38" s="5"/>
      <c r="R38" s="6"/>
      <c r="S38" s="6"/>
      <c r="T38" s="8" t="str">
        <f aca="true">IF(AND(P38&lt;&gt;"",Q38="",K38&lt;&gt;"Denied",P38&lt;TODAY()),"Review overdue","")</f>
        <v/>
      </c>
    </row>
    <row r="39" customFormat="false" ht="15" hidden="false" customHeight="false" outlineLevel="0" collapsed="false">
      <c r="A39" s="4"/>
      <c r="B39" s="5"/>
      <c r="C39" s="6"/>
      <c r="D39" s="6"/>
      <c r="E39" s="6"/>
      <c r="F39" s="6"/>
      <c r="G39" s="4"/>
      <c r="H39" s="4"/>
      <c r="I39" s="4"/>
      <c r="J39" s="6"/>
      <c r="K39" s="6"/>
      <c r="L39" s="5"/>
      <c r="M39" s="5"/>
      <c r="N39" s="7" t="str">
        <f aca="true">IF(OR(M39="",Q39&lt;&gt;""),"",M39-TODAY())</f>
        <v/>
      </c>
      <c r="O39" s="8" t="str">
        <f aca="true">IF(A39="","",IF(K39="Denied","Denied",IF(Q39&lt;&gt;"","Closed",IF(L39="","Requested",IF(L39&gt;TODAY(),"Approved, not started",IF(M39&lt;TODAY(),"EXPIRED",IF(M39-TODAY()&lt;=30,"Expiring (30 days or less)","Active")))))))</f>
        <v/>
      </c>
      <c r="P39" s="5"/>
      <c r="Q39" s="5"/>
      <c r="R39" s="6"/>
      <c r="S39" s="6"/>
      <c r="T39" s="8" t="str">
        <f aca="true">IF(AND(P39&lt;&gt;"",Q39="",K39&lt;&gt;"Denied",P39&lt;TODAY()),"Review overdue","")</f>
        <v/>
      </c>
    </row>
    <row r="40" customFormat="false" ht="15" hidden="false" customHeight="false" outlineLevel="0" collapsed="false">
      <c r="A40" s="4"/>
      <c r="B40" s="5"/>
      <c r="C40" s="6"/>
      <c r="D40" s="6"/>
      <c r="E40" s="6"/>
      <c r="F40" s="6"/>
      <c r="G40" s="4"/>
      <c r="H40" s="4"/>
      <c r="I40" s="4"/>
      <c r="J40" s="6"/>
      <c r="K40" s="6"/>
      <c r="L40" s="5"/>
      <c r="M40" s="5"/>
      <c r="N40" s="7" t="str">
        <f aca="true">IF(OR(M40="",Q40&lt;&gt;""),"",M40-TODAY())</f>
        <v/>
      </c>
      <c r="O40" s="8" t="str">
        <f aca="true">IF(A40="","",IF(K40="Denied","Denied",IF(Q40&lt;&gt;"","Closed",IF(L40="","Requested",IF(L40&gt;TODAY(),"Approved, not started",IF(M40&lt;TODAY(),"EXPIRED",IF(M40-TODAY()&lt;=30,"Expiring (30 days or less)","Active")))))))</f>
        <v/>
      </c>
      <c r="P40" s="5"/>
      <c r="Q40" s="5"/>
      <c r="R40" s="6"/>
      <c r="S40" s="6"/>
      <c r="T40" s="8" t="str">
        <f aca="true">IF(AND(P40&lt;&gt;"",Q40="",K40&lt;&gt;"Denied",P40&lt;TODAY()),"Review overdue","")</f>
        <v/>
      </c>
    </row>
    <row r="41" customFormat="false" ht="15" hidden="false" customHeight="false" outlineLevel="0" collapsed="false">
      <c r="A41" s="4"/>
      <c r="B41" s="5"/>
      <c r="C41" s="6"/>
      <c r="D41" s="6"/>
      <c r="E41" s="6"/>
      <c r="F41" s="6"/>
      <c r="G41" s="4"/>
      <c r="H41" s="4"/>
      <c r="I41" s="4"/>
      <c r="J41" s="6"/>
      <c r="K41" s="6"/>
      <c r="L41" s="5"/>
      <c r="M41" s="5"/>
      <c r="N41" s="7" t="str">
        <f aca="true">IF(OR(M41="",Q41&lt;&gt;""),"",M41-TODAY())</f>
        <v/>
      </c>
      <c r="O41" s="8" t="str">
        <f aca="true">IF(A41="","",IF(K41="Denied","Denied",IF(Q41&lt;&gt;"","Closed",IF(L41="","Requested",IF(L41&gt;TODAY(),"Approved, not started",IF(M41&lt;TODAY(),"EXPIRED",IF(M41-TODAY()&lt;=30,"Expiring (30 days or less)","Active")))))))</f>
        <v/>
      </c>
      <c r="P41" s="5"/>
      <c r="Q41" s="5"/>
      <c r="R41" s="6"/>
      <c r="S41" s="6"/>
      <c r="T41" s="8" t="str">
        <f aca="true">IF(AND(P41&lt;&gt;"",Q41="",K41&lt;&gt;"Denied",P41&lt;TODAY()),"Review overdue","")</f>
        <v/>
      </c>
    </row>
    <row r="42" customFormat="false" ht="15" hidden="false" customHeight="false" outlineLevel="0" collapsed="false">
      <c r="A42" s="4"/>
      <c r="B42" s="5"/>
      <c r="C42" s="6"/>
      <c r="D42" s="6"/>
      <c r="E42" s="6"/>
      <c r="F42" s="6"/>
      <c r="G42" s="4"/>
      <c r="H42" s="4"/>
      <c r="I42" s="4"/>
      <c r="J42" s="6"/>
      <c r="K42" s="6"/>
      <c r="L42" s="5"/>
      <c r="M42" s="5"/>
      <c r="N42" s="7" t="str">
        <f aca="true">IF(OR(M42="",Q42&lt;&gt;""),"",M42-TODAY())</f>
        <v/>
      </c>
      <c r="O42" s="8" t="str">
        <f aca="true">IF(A42="","",IF(K42="Denied","Denied",IF(Q42&lt;&gt;"","Closed",IF(L42="","Requested",IF(L42&gt;TODAY(),"Approved, not started",IF(M42&lt;TODAY(),"EXPIRED",IF(M42-TODAY()&lt;=30,"Expiring (30 days or less)","Active")))))))</f>
        <v/>
      </c>
      <c r="P42" s="5"/>
      <c r="Q42" s="5"/>
      <c r="R42" s="6"/>
      <c r="S42" s="6"/>
      <c r="T42" s="8" t="str">
        <f aca="true">IF(AND(P42&lt;&gt;"",Q42="",K42&lt;&gt;"Denied",P42&lt;TODAY()),"Review overdue","")</f>
        <v/>
      </c>
    </row>
    <row r="43" customFormat="false" ht="15" hidden="false" customHeight="false" outlineLevel="0" collapsed="false">
      <c r="A43" s="4"/>
      <c r="B43" s="5"/>
      <c r="C43" s="6"/>
      <c r="D43" s="6"/>
      <c r="E43" s="6"/>
      <c r="F43" s="6"/>
      <c r="G43" s="4"/>
      <c r="H43" s="4"/>
      <c r="I43" s="4"/>
      <c r="J43" s="6"/>
      <c r="K43" s="6"/>
      <c r="L43" s="5"/>
      <c r="M43" s="5"/>
      <c r="N43" s="7" t="str">
        <f aca="true">IF(OR(M43="",Q43&lt;&gt;""),"",M43-TODAY())</f>
        <v/>
      </c>
      <c r="O43" s="8" t="str">
        <f aca="true">IF(A43="","",IF(K43="Denied","Denied",IF(Q43&lt;&gt;"","Closed",IF(L43="","Requested",IF(L43&gt;TODAY(),"Approved, not started",IF(M43&lt;TODAY(),"EXPIRED",IF(M43-TODAY()&lt;=30,"Expiring (30 days or less)","Active")))))))</f>
        <v/>
      </c>
      <c r="P43" s="5"/>
      <c r="Q43" s="5"/>
      <c r="R43" s="6"/>
      <c r="S43" s="6"/>
      <c r="T43" s="8" t="str">
        <f aca="true">IF(AND(P43&lt;&gt;"",Q43="",K43&lt;&gt;"Denied",P43&lt;TODAY()),"Review overdue","")</f>
        <v/>
      </c>
    </row>
    <row r="44" customFormat="false" ht="15" hidden="false" customHeight="false" outlineLevel="0" collapsed="false">
      <c r="A44" s="4"/>
      <c r="B44" s="5"/>
      <c r="C44" s="6"/>
      <c r="D44" s="6"/>
      <c r="E44" s="6"/>
      <c r="F44" s="6"/>
      <c r="G44" s="4"/>
      <c r="H44" s="4"/>
      <c r="I44" s="4"/>
      <c r="J44" s="6"/>
      <c r="K44" s="6"/>
      <c r="L44" s="5"/>
      <c r="M44" s="5"/>
      <c r="N44" s="7" t="str">
        <f aca="true">IF(OR(M44="",Q44&lt;&gt;""),"",M44-TODAY())</f>
        <v/>
      </c>
      <c r="O44" s="8" t="str">
        <f aca="true">IF(A44="","",IF(K44="Denied","Denied",IF(Q44&lt;&gt;"","Closed",IF(L44="","Requested",IF(L44&gt;TODAY(),"Approved, not started",IF(M44&lt;TODAY(),"EXPIRED",IF(M44-TODAY()&lt;=30,"Expiring (30 days or less)","Active")))))))</f>
        <v/>
      </c>
      <c r="P44" s="5"/>
      <c r="Q44" s="5"/>
      <c r="R44" s="6"/>
      <c r="S44" s="6"/>
      <c r="T44" s="8" t="str">
        <f aca="true">IF(AND(P44&lt;&gt;"",Q44="",K44&lt;&gt;"Denied",P44&lt;TODAY()),"Review overdue","")</f>
        <v/>
      </c>
    </row>
    <row r="45" customFormat="false" ht="15" hidden="false" customHeight="false" outlineLevel="0" collapsed="false">
      <c r="A45" s="4"/>
      <c r="B45" s="5"/>
      <c r="C45" s="6"/>
      <c r="D45" s="6"/>
      <c r="E45" s="6"/>
      <c r="F45" s="6"/>
      <c r="G45" s="4"/>
      <c r="H45" s="4"/>
      <c r="I45" s="4"/>
      <c r="J45" s="6"/>
      <c r="K45" s="6"/>
      <c r="L45" s="5"/>
      <c r="M45" s="5"/>
      <c r="N45" s="7" t="str">
        <f aca="true">IF(OR(M45="",Q45&lt;&gt;""),"",M45-TODAY())</f>
        <v/>
      </c>
      <c r="O45" s="8" t="str">
        <f aca="true">IF(A45="","",IF(K45="Denied","Denied",IF(Q45&lt;&gt;"","Closed",IF(L45="","Requested",IF(L45&gt;TODAY(),"Approved, not started",IF(M45&lt;TODAY(),"EXPIRED",IF(M45-TODAY()&lt;=30,"Expiring (30 days or less)","Active")))))))</f>
        <v/>
      </c>
      <c r="P45" s="5"/>
      <c r="Q45" s="5"/>
      <c r="R45" s="6"/>
      <c r="S45" s="6"/>
      <c r="T45" s="8" t="str">
        <f aca="true">IF(AND(P45&lt;&gt;"",Q45="",K45&lt;&gt;"Denied",P45&lt;TODAY()),"Review overdue","")</f>
        <v/>
      </c>
    </row>
    <row r="46" customFormat="false" ht="15" hidden="false" customHeight="false" outlineLevel="0" collapsed="false">
      <c r="A46" s="4"/>
      <c r="B46" s="5"/>
      <c r="C46" s="6"/>
      <c r="D46" s="6"/>
      <c r="E46" s="6"/>
      <c r="F46" s="6"/>
      <c r="G46" s="4"/>
      <c r="H46" s="4"/>
      <c r="I46" s="4"/>
      <c r="J46" s="6"/>
      <c r="K46" s="6"/>
      <c r="L46" s="5"/>
      <c r="M46" s="5"/>
      <c r="N46" s="7" t="str">
        <f aca="true">IF(OR(M46="",Q46&lt;&gt;""),"",M46-TODAY())</f>
        <v/>
      </c>
      <c r="O46" s="8" t="str">
        <f aca="true">IF(A46="","",IF(K46="Denied","Denied",IF(Q46&lt;&gt;"","Closed",IF(L46="","Requested",IF(L46&gt;TODAY(),"Approved, not started",IF(M46&lt;TODAY(),"EXPIRED",IF(M46-TODAY()&lt;=30,"Expiring (30 days or less)","Active")))))))</f>
        <v/>
      </c>
      <c r="P46" s="5"/>
      <c r="Q46" s="5"/>
      <c r="R46" s="6"/>
      <c r="S46" s="6"/>
      <c r="T46" s="8" t="str">
        <f aca="true">IF(AND(P46&lt;&gt;"",Q46="",K46&lt;&gt;"Denied",P46&lt;TODAY()),"Review overdue","")</f>
        <v/>
      </c>
    </row>
    <row r="47" customFormat="false" ht="15" hidden="false" customHeight="false" outlineLevel="0" collapsed="false">
      <c r="A47" s="4"/>
      <c r="B47" s="5"/>
      <c r="C47" s="6"/>
      <c r="D47" s="6"/>
      <c r="E47" s="6"/>
      <c r="F47" s="6"/>
      <c r="G47" s="4"/>
      <c r="H47" s="4"/>
      <c r="I47" s="4"/>
      <c r="J47" s="6"/>
      <c r="K47" s="6"/>
      <c r="L47" s="5"/>
      <c r="M47" s="5"/>
      <c r="N47" s="7" t="str">
        <f aca="true">IF(OR(M47="",Q47&lt;&gt;""),"",M47-TODAY())</f>
        <v/>
      </c>
      <c r="O47" s="8" t="str">
        <f aca="true">IF(A47="","",IF(K47="Denied","Denied",IF(Q47&lt;&gt;"","Closed",IF(L47="","Requested",IF(L47&gt;TODAY(),"Approved, not started",IF(M47&lt;TODAY(),"EXPIRED",IF(M47-TODAY()&lt;=30,"Expiring (30 days or less)","Active")))))))</f>
        <v/>
      </c>
      <c r="P47" s="5"/>
      <c r="Q47" s="5"/>
      <c r="R47" s="6"/>
      <c r="S47" s="6"/>
      <c r="T47" s="8" t="str">
        <f aca="true">IF(AND(P47&lt;&gt;"",Q47="",K47&lt;&gt;"Denied",P47&lt;TODAY()),"Review overdue","")</f>
        <v/>
      </c>
    </row>
    <row r="48" customFormat="false" ht="15" hidden="false" customHeight="false" outlineLevel="0" collapsed="false">
      <c r="A48" s="4"/>
      <c r="B48" s="5"/>
      <c r="C48" s="6"/>
      <c r="D48" s="6"/>
      <c r="E48" s="6"/>
      <c r="F48" s="6"/>
      <c r="G48" s="4"/>
      <c r="H48" s="4"/>
      <c r="I48" s="4"/>
      <c r="J48" s="6"/>
      <c r="K48" s="6"/>
      <c r="L48" s="5"/>
      <c r="M48" s="5"/>
      <c r="N48" s="7" t="str">
        <f aca="true">IF(OR(M48="",Q48&lt;&gt;""),"",M48-TODAY())</f>
        <v/>
      </c>
      <c r="O48" s="8" t="str">
        <f aca="true">IF(A48="","",IF(K48="Denied","Denied",IF(Q48&lt;&gt;"","Closed",IF(L48="","Requested",IF(L48&gt;TODAY(),"Approved, not started",IF(M48&lt;TODAY(),"EXPIRED",IF(M48-TODAY()&lt;=30,"Expiring (30 days or less)","Active")))))))</f>
        <v/>
      </c>
      <c r="P48" s="5"/>
      <c r="Q48" s="5"/>
      <c r="R48" s="6"/>
      <c r="S48" s="6"/>
      <c r="T48" s="8" t="str">
        <f aca="true">IF(AND(P48&lt;&gt;"",Q48="",K48&lt;&gt;"Denied",P48&lt;TODAY()),"Review overdue","")</f>
        <v/>
      </c>
    </row>
    <row r="49" customFormat="false" ht="15" hidden="false" customHeight="false" outlineLevel="0" collapsed="false">
      <c r="A49" s="4"/>
      <c r="B49" s="5"/>
      <c r="C49" s="6"/>
      <c r="D49" s="6"/>
      <c r="E49" s="6"/>
      <c r="F49" s="6"/>
      <c r="G49" s="4"/>
      <c r="H49" s="4"/>
      <c r="I49" s="4"/>
      <c r="J49" s="6"/>
      <c r="K49" s="6"/>
      <c r="L49" s="5"/>
      <c r="M49" s="5"/>
      <c r="N49" s="7" t="str">
        <f aca="true">IF(OR(M49="",Q49&lt;&gt;""),"",M49-TODAY())</f>
        <v/>
      </c>
      <c r="O49" s="8" t="str">
        <f aca="true">IF(A49="","",IF(K49="Denied","Denied",IF(Q49&lt;&gt;"","Closed",IF(L49="","Requested",IF(L49&gt;TODAY(),"Approved, not started",IF(M49&lt;TODAY(),"EXPIRED",IF(M49-TODAY()&lt;=30,"Expiring (30 days or less)","Active")))))))</f>
        <v/>
      </c>
      <c r="P49" s="5"/>
      <c r="Q49" s="5"/>
      <c r="R49" s="6"/>
      <c r="S49" s="6"/>
      <c r="T49" s="8" t="str">
        <f aca="true">IF(AND(P49&lt;&gt;"",Q49="",K49&lt;&gt;"Denied",P49&lt;TODAY()),"Review overdue","")</f>
        <v/>
      </c>
    </row>
    <row r="50" customFormat="false" ht="15" hidden="false" customHeight="false" outlineLevel="0" collapsed="false">
      <c r="A50" s="4"/>
      <c r="B50" s="5"/>
      <c r="C50" s="6"/>
      <c r="D50" s="6"/>
      <c r="E50" s="6"/>
      <c r="F50" s="6"/>
      <c r="G50" s="4"/>
      <c r="H50" s="4"/>
      <c r="I50" s="4"/>
      <c r="J50" s="6"/>
      <c r="K50" s="6"/>
      <c r="L50" s="5"/>
      <c r="M50" s="5"/>
      <c r="N50" s="7" t="str">
        <f aca="true">IF(OR(M50="",Q50&lt;&gt;""),"",M50-TODAY())</f>
        <v/>
      </c>
      <c r="O50" s="8" t="str">
        <f aca="true">IF(A50="","",IF(K50="Denied","Denied",IF(Q50&lt;&gt;"","Closed",IF(L50="","Requested",IF(L50&gt;TODAY(),"Approved, not started",IF(M50&lt;TODAY(),"EXPIRED",IF(M50-TODAY()&lt;=30,"Expiring (30 days or less)","Active")))))))</f>
        <v/>
      </c>
      <c r="P50" s="5"/>
      <c r="Q50" s="5"/>
      <c r="R50" s="6"/>
      <c r="S50" s="6"/>
      <c r="T50" s="8" t="str">
        <f aca="true">IF(AND(P50&lt;&gt;"",Q50="",K50&lt;&gt;"Denied",P50&lt;TODAY()),"Review overdue","")</f>
        <v/>
      </c>
    </row>
    <row r="51" customFormat="false" ht="15" hidden="false" customHeight="false" outlineLevel="0" collapsed="false">
      <c r="A51" s="4"/>
      <c r="B51" s="5"/>
      <c r="C51" s="6"/>
      <c r="D51" s="6"/>
      <c r="E51" s="6"/>
      <c r="F51" s="6"/>
      <c r="G51" s="4"/>
      <c r="H51" s="4"/>
      <c r="I51" s="4"/>
      <c r="J51" s="6"/>
      <c r="K51" s="6"/>
      <c r="L51" s="5"/>
      <c r="M51" s="5"/>
      <c r="N51" s="7" t="str">
        <f aca="true">IF(OR(M51="",Q51&lt;&gt;""),"",M51-TODAY())</f>
        <v/>
      </c>
      <c r="O51" s="8" t="str">
        <f aca="true">IF(A51="","",IF(K51="Denied","Denied",IF(Q51&lt;&gt;"","Closed",IF(L51="","Requested",IF(L51&gt;TODAY(),"Approved, not started",IF(M51&lt;TODAY(),"EXPIRED",IF(M51-TODAY()&lt;=30,"Expiring (30 days or less)","Active")))))))</f>
        <v/>
      </c>
      <c r="P51" s="5"/>
      <c r="Q51" s="5"/>
      <c r="R51" s="6"/>
      <c r="S51" s="6"/>
      <c r="T51" s="8" t="str">
        <f aca="true">IF(AND(P51&lt;&gt;"",Q51="",K51&lt;&gt;"Denied",P51&lt;TODAY()),"Review overdue","")</f>
        <v/>
      </c>
    </row>
    <row r="52" customFormat="false" ht="15" hidden="false" customHeight="false" outlineLevel="0" collapsed="false">
      <c r="A52" s="4"/>
      <c r="B52" s="5"/>
      <c r="C52" s="6"/>
      <c r="D52" s="6"/>
      <c r="E52" s="6"/>
      <c r="F52" s="6"/>
      <c r="G52" s="4"/>
      <c r="H52" s="4"/>
      <c r="I52" s="4"/>
      <c r="J52" s="6"/>
      <c r="K52" s="6"/>
      <c r="L52" s="5"/>
      <c r="M52" s="5"/>
      <c r="N52" s="7" t="str">
        <f aca="true">IF(OR(M52="",Q52&lt;&gt;""),"",M52-TODAY())</f>
        <v/>
      </c>
      <c r="O52" s="8" t="str">
        <f aca="true">IF(A52="","",IF(K52="Denied","Denied",IF(Q52&lt;&gt;"","Closed",IF(L52="","Requested",IF(L52&gt;TODAY(),"Approved, not started",IF(M52&lt;TODAY(),"EXPIRED",IF(M52-TODAY()&lt;=30,"Expiring (30 days or less)","Active")))))))</f>
        <v/>
      </c>
      <c r="P52" s="5"/>
      <c r="Q52" s="5"/>
      <c r="R52" s="6"/>
      <c r="S52" s="6"/>
      <c r="T52" s="8" t="str">
        <f aca="true">IF(AND(P52&lt;&gt;"",Q52="",K52&lt;&gt;"Denied",P52&lt;TODAY()),"Review overdue","")</f>
        <v/>
      </c>
    </row>
    <row r="53" customFormat="false" ht="15" hidden="false" customHeight="false" outlineLevel="0" collapsed="false">
      <c r="A53" s="4"/>
      <c r="B53" s="5"/>
      <c r="C53" s="6"/>
      <c r="D53" s="6"/>
      <c r="E53" s="6"/>
      <c r="F53" s="6"/>
      <c r="G53" s="4"/>
      <c r="H53" s="4"/>
      <c r="I53" s="4"/>
      <c r="J53" s="6"/>
      <c r="K53" s="6"/>
      <c r="L53" s="5"/>
      <c r="M53" s="5"/>
      <c r="N53" s="7" t="str">
        <f aca="true">IF(OR(M53="",Q53&lt;&gt;""),"",M53-TODAY())</f>
        <v/>
      </c>
      <c r="O53" s="8" t="str">
        <f aca="true">IF(A53="","",IF(K53="Denied","Denied",IF(Q53&lt;&gt;"","Closed",IF(L53="","Requested",IF(L53&gt;TODAY(),"Approved, not started",IF(M53&lt;TODAY(),"EXPIRED",IF(M53-TODAY()&lt;=30,"Expiring (30 days or less)","Active")))))))</f>
        <v/>
      </c>
      <c r="P53" s="5"/>
      <c r="Q53" s="5"/>
      <c r="R53" s="6"/>
      <c r="S53" s="6"/>
      <c r="T53" s="8" t="str">
        <f aca="true">IF(AND(P53&lt;&gt;"",Q53="",K53&lt;&gt;"Denied",P53&lt;TODAY()),"Review overdue","")</f>
        <v/>
      </c>
    </row>
    <row r="54" customFormat="false" ht="15" hidden="false" customHeight="false" outlineLevel="0" collapsed="false">
      <c r="A54" s="4"/>
      <c r="B54" s="5"/>
      <c r="C54" s="6"/>
      <c r="D54" s="6"/>
      <c r="E54" s="6"/>
      <c r="F54" s="6"/>
      <c r="G54" s="4"/>
      <c r="H54" s="4"/>
      <c r="I54" s="4"/>
      <c r="J54" s="6"/>
      <c r="K54" s="6"/>
      <c r="L54" s="5"/>
      <c r="M54" s="5"/>
      <c r="N54" s="7" t="str">
        <f aca="true">IF(OR(M54="",Q54&lt;&gt;""),"",M54-TODAY())</f>
        <v/>
      </c>
      <c r="O54" s="8" t="str">
        <f aca="true">IF(A54="","",IF(K54="Denied","Denied",IF(Q54&lt;&gt;"","Closed",IF(L54="","Requested",IF(L54&gt;TODAY(),"Approved, not started",IF(M54&lt;TODAY(),"EXPIRED",IF(M54-TODAY()&lt;=30,"Expiring (30 days or less)","Active")))))))</f>
        <v/>
      </c>
      <c r="P54" s="5"/>
      <c r="Q54" s="5"/>
      <c r="R54" s="6"/>
      <c r="S54" s="6"/>
      <c r="T54" s="8" t="str">
        <f aca="true">IF(AND(P54&lt;&gt;"",Q54="",K54&lt;&gt;"Denied",P54&lt;TODAY()),"Review overdue","")</f>
        <v/>
      </c>
    </row>
    <row r="55" customFormat="false" ht="15" hidden="false" customHeight="false" outlineLevel="0" collapsed="false">
      <c r="A55" s="4"/>
      <c r="B55" s="5"/>
      <c r="C55" s="6"/>
      <c r="D55" s="6"/>
      <c r="E55" s="6"/>
      <c r="F55" s="6"/>
      <c r="G55" s="4"/>
      <c r="H55" s="4"/>
      <c r="I55" s="4"/>
      <c r="J55" s="6"/>
      <c r="K55" s="6"/>
      <c r="L55" s="5"/>
      <c r="M55" s="5"/>
      <c r="N55" s="7" t="str">
        <f aca="true">IF(OR(M55="",Q55&lt;&gt;""),"",M55-TODAY())</f>
        <v/>
      </c>
      <c r="O55" s="8" t="str">
        <f aca="true">IF(A55="","",IF(K55="Denied","Denied",IF(Q55&lt;&gt;"","Closed",IF(L55="","Requested",IF(L55&gt;TODAY(),"Approved, not started",IF(M55&lt;TODAY(),"EXPIRED",IF(M55-TODAY()&lt;=30,"Expiring (30 days or less)","Active")))))))</f>
        <v/>
      </c>
      <c r="P55" s="5"/>
      <c r="Q55" s="5"/>
      <c r="R55" s="6"/>
      <c r="S55" s="6"/>
      <c r="T55" s="8" t="str">
        <f aca="true">IF(AND(P55&lt;&gt;"",Q55="",K55&lt;&gt;"Denied",P55&lt;TODAY()),"Review overdue","")</f>
        <v/>
      </c>
    </row>
    <row r="56" customFormat="false" ht="15" hidden="false" customHeight="false" outlineLevel="0" collapsed="false">
      <c r="A56" s="4"/>
      <c r="B56" s="5"/>
      <c r="C56" s="6"/>
      <c r="D56" s="6"/>
      <c r="E56" s="6"/>
      <c r="F56" s="6"/>
      <c r="G56" s="4"/>
      <c r="H56" s="4"/>
      <c r="I56" s="4"/>
      <c r="J56" s="6"/>
      <c r="K56" s="6"/>
      <c r="L56" s="5"/>
      <c r="M56" s="5"/>
      <c r="N56" s="7" t="str">
        <f aca="true">IF(OR(M56="",Q56&lt;&gt;""),"",M56-TODAY())</f>
        <v/>
      </c>
      <c r="O56" s="8" t="str">
        <f aca="true">IF(A56="","",IF(K56="Denied","Denied",IF(Q56&lt;&gt;"","Closed",IF(L56="","Requested",IF(L56&gt;TODAY(),"Approved, not started",IF(M56&lt;TODAY(),"EXPIRED",IF(M56-TODAY()&lt;=30,"Expiring (30 days or less)","Active")))))))</f>
        <v/>
      </c>
      <c r="P56" s="5"/>
      <c r="Q56" s="5"/>
      <c r="R56" s="6"/>
      <c r="S56" s="6"/>
      <c r="T56" s="8" t="str">
        <f aca="true">IF(AND(P56&lt;&gt;"",Q56="",K56&lt;&gt;"Denied",P56&lt;TODAY()),"Review overdue","")</f>
        <v/>
      </c>
    </row>
    <row r="57" customFormat="false" ht="15" hidden="false" customHeight="false" outlineLevel="0" collapsed="false">
      <c r="A57" s="4"/>
      <c r="B57" s="5"/>
      <c r="C57" s="6"/>
      <c r="D57" s="6"/>
      <c r="E57" s="6"/>
      <c r="F57" s="6"/>
      <c r="G57" s="4"/>
      <c r="H57" s="4"/>
      <c r="I57" s="4"/>
      <c r="J57" s="6"/>
      <c r="K57" s="6"/>
      <c r="L57" s="5"/>
      <c r="M57" s="5"/>
      <c r="N57" s="7" t="str">
        <f aca="true">IF(OR(M57="",Q57&lt;&gt;""),"",M57-TODAY())</f>
        <v/>
      </c>
      <c r="O57" s="8" t="str">
        <f aca="true">IF(A57="","",IF(K57="Denied","Denied",IF(Q57&lt;&gt;"","Closed",IF(L57="","Requested",IF(L57&gt;TODAY(),"Approved, not started",IF(M57&lt;TODAY(),"EXPIRED",IF(M57-TODAY()&lt;=30,"Expiring (30 days or less)","Active")))))))</f>
        <v/>
      </c>
      <c r="P57" s="5"/>
      <c r="Q57" s="5"/>
      <c r="R57" s="6"/>
      <c r="S57" s="6"/>
      <c r="T57" s="8" t="str">
        <f aca="true">IF(AND(P57&lt;&gt;"",Q57="",K57&lt;&gt;"Denied",P57&lt;TODAY()),"Review overdue","")</f>
        <v/>
      </c>
    </row>
    <row r="58" customFormat="false" ht="15" hidden="false" customHeight="false" outlineLevel="0" collapsed="false">
      <c r="A58" s="4"/>
      <c r="B58" s="5"/>
      <c r="C58" s="6"/>
      <c r="D58" s="6"/>
      <c r="E58" s="6"/>
      <c r="F58" s="6"/>
      <c r="G58" s="4"/>
      <c r="H58" s="4"/>
      <c r="I58" s="4"/>
      <c r="J58" s="6"/>
      <c r="K58" s="6"/>
      <c r="L58" s="5"/>
      <c r="M58" s="5"/>
      <c r="N58" s="7" t="str">
        <f aca="true">IF(OR(M58="",Q58&lt;&gt;""),"",M58-TODAY())</f>
        <v/>
      </c>
      <c r="O58" s="8" t="str">
        <f aca="true">IF(A58="","",IF(K58="Denied","Denied",IF(Q58&lt;&gt;"","Closed",IF(L58="","Requested",IF(L58&gt;TODAY(),"Approved, not started",IF(M58&lt;TODAY(),"EXPIRED",IF(M58-TODAY()&lt;=30,"Expiring (30 days or less)","Active")))))))</f>
        <v/>
      </c>
      <c r="P58" s="5"/>
      <c r="Q58" s="5"/>
      <c r="R58" s="6"/>
      <c r="S58" s="6"/>
      <c r="T58" s="8" t="str">
        <f aca="true">IF(AND(P58&lt;&gt;"",Q58="",K58&lt;&gt;"Denied",P58&lt;TODAY()),"Review overdue","")</f>
        <v/>
      </c>
    </row>
    <row r="59" customFormat="false" ht="15" hidden="false" customHeight="false" outlineLevel="0" collapsed="false">
      <c r="A59" s="4"/>
      <c r="B59" s="5"/>
      <c r="C59" s="6"/>
      <c r="D59" s="6"/>
      <c r="E59" s="6"/>
      <c r="F59" s="6"/>
      <c r="G59" s="4"/>
      <c r="H59" s="4"/>
      <c r="I59" s="4"/>
      <c r="J59" s="6"/>
      <c r="K59" s="6"/>
      <c r="L59" s="5"/>
      <c r="M59" s="5"/>
      <c r="N59" s="7" t="str">
        <f aca="true">IF(OR(M59="",Q59&lt;&gt;""),"",M59-TODAY())</f>
        <v/>
      </c>
      <c r="O59" s="8" t="str">
        <f aca="true">IF(A59="","",IF(K59="Denied","Denied",IF(Q59&lt;&gt;"","Closed",IF(L59="","Requested",IF(L59&gt;TODAY(),"Approved, not started",IF(M59&lt;TODAY(),"EXPIRED",IF(M59-TODAY()&lt;=30,"Expiring (30 days or less)","Active")))))))</f>
        <v/>
      </c>
      <c r="P59" s="5"/>
      <c r="Q59" s="5"/>
      <c r="R59" s="6"/>
      <c r="S59" s="6"/>
      <c r="T59" s="8" t="str">
        <f aca="true">IF(AND(P59&lt;&gt;"",Q59="",K59&lt;&gt;"Denied",P59&lt;TODAY()),"Review overdue","")</f>
        <v/>
      </c>
    </row>
    <row r="60" customFormat="false" ht="15" hidden="false" customHeight="false" outlineLevel="0" collapsed="false">
      <c r="A60" s="4"/>
      <c r="B60" s="5"/>
      <c r="C60" s="6"/>
      <c r="D60" s="6"/>
      <c r="E60" s="6"/>
      <c r="F60" s="6"/>
      <c r="G60" s="4"/>
      <c r="H60" s="4"/>
      <c r="I60" s="4"/>
      <c r="J60" s="6"/>
      <c r="K60" s="6"/>
      <c r="L60" s="5"/>
      <c r="M60" s="5"/>
      <c r="N60" s="7" t="str">
        <f aca="true">IF(OR(M60="",Q60&lt;&gt;""),"",M60-TODAY())</f>
        <v/>
      </c>
      <c r="O60" s="8" t="str">
        <f aca="true">IF(A60="","",IF(K60="Denied","Denied",IF(Q60&lt;&gt;"","Closed",IF(L60="","Requested",IF(L60&gt;TODAY(),"Approved, not started",IF(M60&lt;TODAY(),"EXPIRED",IF(M60-TODAY()&lt;=30,"Expiring (30 days or less)","Active")))))))</f>
        <v/>
      </c>
      <c r="P60" s="5"/>
      <c r="Q60" s="5"/>
      <c r="R60" s="6"/>
      <c r="S60" s="6"/>
      <c r="T60" s="8" t="str">
        <f aca="true">IF(AND(P60&lt;&gt;"",Q60="",K60&lt;&gt;"Denied",P60&lt;TODAY()),"Review overdue","")</f>
        <v/>
      </c>
    </row>
    <row r="61" customFormat="false" ht="15" hidden="false" customHeight="false" outlineLevel="0" collapsed="false">
      <c r="A61" s="4"/>
      <c r="B61" s="5"/>
      <c r="C61" s="6"/>
      <c r="D61" s="6"/>
      <c r="E61" s="6"/>
      <c r="F61" s="6"/>
      <c r="G61" s="4"/>
      <c r="H61" s="4"/>
      <c r="I61" s="4"/>
      <c r="J61" s="6"/>
      <c r="K61" s="6"/>
      <c r="L61" s="5"/>
      <c r="M61" s="5"/>
      <c r="N61" s="7" t="str">
        <f aca="true">IF(OR(M61="",Q61&lt;&gt;""),"",M61-TODAY())</f>
        <v/>
      </c>
      <c r="O61" s="8" t="str">
        <f aca="true">IF(A61="","",IF(K61="Denied","Denied",IF(Q61&lt;&gt;"","Closed",IF(L61="","Requested",IF(L61&gt;TODAY(),"Approved, not started",IF(M61&lt;TODAY(),"EXPIRED",IF(M61-TODAY()&lt;=30,"Expiring (30 days or less)","Active")))))))</f>
        <v/>
      </c>
      <c r="P61" s="5"/>
      <c r="Q61" s="5"/>
      <c r="R61" s="6"/>
      <c r="S61" s="6"/>
      <c r="T61" s="8" t="str">
        <f aca="true">IF(AND(P61&lt;&gt;"",Q61="",K61&lt;&gt;"Denied",P61&lt;TODAY()),"Review overdue","")</f>
        <v/>
      </c>
    </row>
    <row r="62" customFormat="false" ht="15" hidden="false" customHeight="false" outlineLevel="0" collapsed="false">
      <c r="A62" s="4"/>
      <c r="B62" s="5"/>
      <c r="C62" s="6"/>
      <c r="D62" s="6"/>
      <c r="E62" s="6"/>
      <c r="F62" s="6"/>
      <c r="G62" s="4"/>
      <c r="H62" s="4"/>
      <c r="I62" s="4"/>
      <c r="J62" s="6"/>
      <c r="K62" s="6"/>
      <c r="L62" s="5"/>
      <c r="M62" s="5"/>
      <c r="N62" s="7" t="str">
        <f aca="true">IF(OR(M62="",Q62&lt;&gt;""),"",M62-TODAY())</f>
        <v/>
      </c>
      <c r="O62" s="8" t="str">
        <f aca="true">IF(A62="","",IF(K62="Denied","Denied",IF(Q62&lt;&gt;"","Closed",IF(L62="","Requested",IF(L62&gt;TODAY(),"Approved, not started",IF(M62&lt;TODAY(),"EXPIRED",IF(M62-TODAY()&lt;=30,"Expiring (30 days or less)","Active")))))))</f>
        <v/>
      </c>
      <c r="P62" s="5"/>
      <c r="Q62" s="5"/>
      <c r="R62" s="6"/>
      <c r="S62" s="6"/>
      <c r="T62" s="8" t="str">
        <f aca="true">IF(AND(P62&lt;&gt;"",Q62="",K62&lt;&gt;"Denied",P62&lt;TODAY()),"Review overdue","")</f>
        <v/>
      </c>
    </row>
    <row r="63" customFormat="false" ht="15" hidden="false" customHeight="false" outlineLevel="0" collapsed="false">
      <c r="A63" s="4"/>
      <c r="B63" s="5"/>
      <c r="C63" s="6"/>
      <c r="D63" s="6"/>
      <c r="E63" s="6"/>
      <c r="F63" s="6"/>
      <c r="G63" s="4"/>
      <c r="H63" s="4"/>
      <c r="I63" s="4"/>
      <c r="J63" s="6"/>
      <c r="K63" s="6"/>
      <c r="L63" s="5"/>
      <c r="M63" s="5"/>
      <c r="N63" s="7" t="str">
        <f aca="true">IF(OR(M63="",Q63&lt;&gt;""),"",M63-TODAY())</f>
        <v/>
      </c>
      <c r="O63" s="8" t="str">
        <f aca="true">IF(A63="","",IF(K63="Denied","Denied",IF(Q63&lt;&gt;"","Closed",IF(L63="","Requested",IF(L63&gt;TODAY(),"Approved, not started",IF(M63&lt;TODAY(),"EXPIRED",IF(M63-TODAY()&lt;=30,"Expiring (30 days or less)","Active")))))))</f>
        <v/>
      </c>
      <c r="P63" s="5"/>
      <c r="Q63" s="5"/>
      <c r="R63" s="6"/>
      <c r="S63" s="6"/>
      <c r="T63" s="8" t="str">
        <f aca="true">IF(AND(P63&lt;&gt;"",Q63="",K63&lt;&gt;"Denied",P63&lt;TODAY()),"Review overdue","")</f>
        <v/>
      </c>
    </row>
    <row r="64" customFormat="false" ht="15" hidden="false" customHeight="false" outlineLevel="0" collapsed="false">
      <c r="A64" s="4"/>
      <c r="B64" s="5"/>
      <c r="C64" s="6"/>
      <c r="D64" s="6"/>
      <c r="E64" s="6"/>
      <c r="F64" s="6"/>
      <c r="G64" s="4"/>
      <c r="H64" s="4"/>
      <c r="I64" s="4"/>
      <c r="J64" s="6"/>
      <c r="K64" s="6"/>
      <c r="L64" s="5"/>
      <c r="M64" s="5"/>
      <c r="N64" s="7" t="str">
        <f aca="true">IF(OR(M64="",Q64&lt;&gt;""),"",M64-TODAY())</f>
        <v/>
      </c>
      <c r="O64" s="8" t="str">
        <f aca="true">IF(A64="","",IF(K64="Denied","Denied",IF(Q64&lt;&gt;"","Closed",IF(L64="","Requested",IF(L64&gt;TODAY(),"Approved, not started",IF(M64&lt;TODAY(),"EXPIRED",IF(M64-TODAY()&lt;=30,"Expiring (30 days or less)","Active")))))))</f>
        <v/>
      </c>
      <c r="P64" s="5"/>
      <c r="Q64" s="5"/>
      <c r="R64" s="6"/>
      <c r="S64" s="6"/>
      <c r="T64" s="8" t="str">
        <f aca="true">IF(AND(P64&lt;&gt;"",Q64="",K64&lt;&gt;"Denied",P64&lt;TODAY()),"Review overdue","")</f>
        <v/>
      </c>
    </row>
    <row r="65" customFormat="false" ht="15" hidden="false" customHeight="false" outlineLevel="0" collapsed="false">
      <c r="A65" s="4"/>
      <c r="B65" s="5"/>
      <c r="C65" s="6"/>
      <c r="D65" s="6"/>
      <c r="E65" s="6"/>
      <c r="F65" s="6"/>
      <c r="G65" s="4"/>
      <c r="H65" s="4"/>
      <c r="I65" s="4"/>
      <c r="J65" s="6"/>
      <c r="K65" s="6"/>
      <c r="L65" s="5"/>
      <c r="M65" s="5"/>
      <c r="N65" s="7" t="str">
        <f aca="true">IF(OR(M65="",Q65&lt;&gt;""),"",M65-TODAY())</f>
        <v/>
      </c>
      <c r="O65" s="8" t="str">
        <f aca="true">IF(A65="","",IF(K65="Denied","Denied",IF(Q65&lt;&gt;"","Closed",IF(L65="","Requested",IF(L65&gt;TODAY(),"Approved, not started",IF(M65&lt;TODAY(),"EXPIRED",IF(M65-TODAY()&lt;=30,"Expiring (30 days or less)","Active")))))))</f>
        <v/>
      </c>
      <c r="P65" s="5"/>
      <c r="Q65" s="5"/>
      <c r="R65" s="6"/>
      <c r="S65" s="6"/>
      <c r="T65" s="8" t="str">
        <f aca="true">IF(AND(P65&lt;&gt;"",Q65="",K65&lt;&gt;"Denied",P65&lt;TODAY()),"Review overdue","")</f>
        <v/>
      </c>
    </row>
    <row r="66" customFormat="false" ht="15" hidden="false" customHeight="false" outlineLevel="0" collapsed="false">
      <c r="A66" s="4"/>
      <c r="B66" s="5"/>
      <c r="C66" s="6"/>
      <c r="D66" s="6"/>
      <c r="E66" s="6"/>
      <c r="F66" s="6"/>
      <c r="G66" s="4"/>
      <c r="H66" s="4"/>
      <c r="I66" s="4"/>
      <c r="J66" s="6"/>
      <c r="K66" s="6"/>
      <c r="L66" s="5"/>
      <c r="M66" s="5"/>
      <c r="N66" s="7" t="str">
        <f aca="true">IF(OR(M66="",Q66&lt;&gt;""),"",M66-TODAY())</f>
        <v/>
      </c>
      <c r="O66" s="8" t="str">
        <f aca="true">IF(A66="","",IF(K66="Denied","Denied",IF(Q66&lt;&gt;"","Closed",IF(L66="","Requested",IF(L66&gt;TODAY(),"Approved, not started",IF(M66&lt;TODAY(),"EXPIRED",IF(M66-TODAY()&lt;=30,"Expiring (30 days or less)","Active")))))))</f>
        <v/>
      </c>
      <c r="P66" s="5"/>
      <c r="Q66" s="5"/>
      <c r="R66" s="6"/>
      <c r="S66" s="6"/>
      <c r="T66" s="8" t="str">
        <f aca="true">IF(AND(P66&lt;&gt;"",Q66="",K66&lt;&gt;"Denied",P66&lt;TODAY()),"Review overdue","")</f>
        <v/>
      </c>
    </row>
    <row r="67" customFormat="false" ht="15" hidden="false" customHeight="false" outlineLevel="0" collapsed="false">
      <c r="A67" s="4"/>
      <c r="B67" s="5"/>
      <c r="C67" s="6"/>
      <c r="D67" s="6"/>
      <c r="E67" s="6"/>
      <c r="F67" s="6"/>
      <c r="G67" s="4"/>
      <c r="H67" s="4"/>
      <c r="I67" s="4"/>
      <c r="J67" s="6"/>
      <c r="K67" s="6"/>
      <c r="L67" s="5"/>
      <c r="M67" s="5"/>
      <c r="N67" s="7" t="str">
        <f aca="true">IF(OR(M67="",Q67&lt;&gt;""),"",M67-TODAY())</f>
        <v/>
      </c>
      <c r="O67" s="8" t="str">
        <f aca="true">IF(A67="","",IF(K67="Denied","Denied",IF(Q67&lt;&gt;"","Closed",IF(L67="","Requested",IF(L67&gt;TODAY(),"Approved, not started",IF(M67&lt;TODAY(),"EXPIRED",IF(M67-TODAY()&lt;=30,"Expiring (30 days or less)","Active")))))))</f>
        <v/>
      </c>
      <c r="P67" s="5"/>
      <c r="Q67" s="5"/>
      <c r="R67" s="6"/>
      <c r="S67" s="6"/>
      <c r="T67" s="8" t="str">
        <f aca="true">IF(AND(P67&lt;&gt;"",Q67="",K67&lt;&gt;"Denied",P67&lt;TODAY()),"Review overdue","")</f>
        <v/>
      </c>
    </row>
    <row r="68" customFormat="false" ht="15" hidden="false" customHeight="false" outlineLevel="0" collapsed="false">
      <c r="A68" s="4"/>
      <c r="B68" s="5"/>
      <c r="C68" s="6"/>
      <c r="D68" s="6"/>
      <c r="E68" s="6"/>
      <c r="F68" s="6"/>
      <c r="G68" s="4"/>
      <c r="H68" s="4"/>
      <c r="I68" s="4"/>
      <c r="J68" s="6"/>
      <c r="K68" s="6"/>
      <c r="L68" s="5"/>
      <c r="M68" s="5"/>
      <c r="N68" s="7" t="str">
        <f aca="true">IF(OR(M68="",Q68&lt;&gt;""),"",M68-TODAY())</f>
        <v/>
      </c>
      <c r="O68" s="8" t="str">
        <f aca="true">IF(A68="","",IF(K68="Denied","Denied",IF(Q68&lt;&gt;"","Closed",IF(L68="","Requested",IF(L68&gt;TODAY(),"Approved, not started",IF(M68&lt;TODAY(),"EXPIRED",IF(M68-TODAY()&lt;=30,"Expiring (30 days or less)","Active")))))))</f>
        <v/>
      </c>
      <c r="P68" s="5"/>
      <c r="Q68" s="5"/>
      <c r="R68" s="6"/>
      <c r="S68" s="6"/>
      <c r="T68" s="8" t="str">
        <f aca="true">IF(AND(P68&lt;&gt;"",Q68="",K68&lt;&gt;"Denied",P68&lt;TODAY()),"Review overdue","")</f>
        <v/>
      </c>
    </row>
    <row r="69" customFormat="false" ht="15" hidden="false" customHeight="false" outlineLevel="0" collapsed="false">
      <c r="A69" s="4"/>
      <c r="B69" s="5"/>
      <c r="C69" s="6"/>
      <c r="D69" s="6"/>
      <c r="E69" s="6"/>
      <c r="F69" s="6"/>
      <c r="G69" s="4"/>
      <c r="H69" s="4"/>
      <c r="I69" s="4"/>
      <c r="J69" s="6"/>
      <c r="K69" s="6"/>
      <c r="L69" s="5"/>
      <c r="M69" s="5"/>
      <c r="N69" s="7" t="str">
        <f aca="true">IF(OR(M69="",Q69&lt;&gt;""),"",M69-TODAY())</f>
        <v/>
      </c>
      <c r="O69" s="8" t="str">
        <f aca="true">IF(A69="","",IF(K69="Denied","Denied",IF(Q69&lt;&gt;"","Closed",IF(L69="","Requested",IF(L69&gt;TODAY(),"Approved, not started",IF(M69&lt;TODAY(),"EXPIRED",IF(M69-TODAY()&lt;=30,"Expiring (30 days or less)","Active")))))))</f>
        <v/>
      </c>
      <c r="P69" s="5"/>
      <c r="Q69" s="5"/>
      <c r="R69" s="6"/>
      <c r="S69" s="6"/>
      <c r="T69" s="8" t="str">
        <f aca="true">IF(AND(P69&lt;&gt;"",Q69="",K69&lt;&gt;"Denied",P69&lt;TODAY()),"Review overdue","")</f>
        <v/>
      </c>
    </row>
    <row r="70" customFormat="false" ht="15" hidden="false" customHeight="false" outlineLevel="0" collapsed="false">
      <c r="A70" s="4"/>
      <c r="B70" s="5"/>
      <c r="C70" s="6"/>
      <c r="D70" s="6"/>
      <c r="E70" s="6"/>
      <c r="F70" s="6"/>
      <c r="G70" s="4"/>
      <c r="H70" s="4"/>
      <c r="I70" s="4"/>
      <c r="J70" s="6"/>
      <c r="K70" s="6"/>
      <c r="L70" s="5"/>
      <c r="M70" s="5"/>
      <c r="N70" s="7" t="str">
        <f aca="true">IF(OR(M70="",Q70&lt;&gt;""),"",M70-TODAY())</f>
        <v/>
      </c>
      <c r="O70" s="8" t="str">
        <f aca="true">IF(A70="","",IF(K70="Denied","Denied",IF(Q70&lt;&gt;"","Closed",IF(L70="","Requested",IF(L70&gt;TODAY(),"Approved, not started",IF(M70&lt;TODAY(),"EXPIRED",IF(M70-TODAY()&lt;=30,"Expiring (30 days or less)","Active")))))))</f>
        <v/>
      </c>
      <c r="P70" s="5"/>
      <c r="Q70" s="5"/>
      <c r="R70" s="6"/>
      <c r="S70" s="6"/>
      <c r="T70" s="8" t="str">
        <f aca="true">IF(AND(P70&lt;&gt;"",Q70="",K70&lt;&gt;"Denied",P70&lt;TODAY()),"Review overdue","")</f>
        <v/>
      </c>
    </row>
    <row r="71" customFormat="false" ht="15" hidden="false" customHeight="false" outlineLevel="0" collapsed="false">
      <c r="A71" s="4"/>
      <c r="B71" s="5"/>
      <c r="C71" s="6"/>
      <c r="D71" s="6"/>
      <c r="E71" s="6"/>
      <c r="F71" s="6"/>
      <c r="G71" s="4"/>
      <c r="H71" s="4"/>
      <c r="I71" s="4"/>
      <c r="J71" s="6"/>
      <c r="K71" s="6"/>
      <c r="L71" s="5"/>
      <c r="M71" s="5"/>
      <c r="N71" s="7" t="str">
        <f aca="true">IF(OR(M71="",Q71&lt;&gt;""),"",M71-TODAY())</f>
        <v/>
      </c>
      <c r="O71" s="8" t="str">
        <f aca="true">IF(A71="","",IF(K71="Denied","Denied",IF(Q71&lt;&gt;"","Closed",IF(L71="","Requested",IF(L71&gt;TODAY(),"Approved, not started",IF(M71&lt;TODAY(),"EXPIRED",IF(M71-TODAY()&lt;=30,"Expiring (30 days or less)","Active")))))))</f>
        <v/>
      </c>
      <c r="P71" s="5"/>
      <c r="Q71" s="5"/>
      <c r="R71" s="6"/>
      <c r="S71" s="6"/>
      <c r="T71" s="8" t="str">
        <f aca="true">IF(AND(P71&lt;&gt;"",Q71="",K71&lt;&gt;"Denied",P71&lt;TODAY()),"Review overdue","")</f>
        <v/>
      </c>
    </row>
    <row r="72" customFormat="false" ht="15" hidden="false" customHeight="false" outlineLevel="0" collapsed="false">
      <c r="A72" s="4"/>
      <c r="B72" s="5"/>
      <c r="C72" s="6"/>
      <c r="D72" s="6"/>
      <c r="E72" s="6"/>
      <c r="F72" s="6"/>
      <c r="G72" s="4"/>
      <c r="H72" s="4"/>
      <c r="I72" s="4"/>
      <c r="J72" s="6"/>
      <c r="K72" s="6"/>
      <c r="L72" s="5"/>
      <c r="M72" s="5"/>
      <c r="N72" s="7" t="str">
        <f aca="true">IF(OR(M72="",Q72&lt;&gt;""),"",M72-TODAY())</f>
        <v/>
      </c>
      <c r="O72" s="8" t="str">
        <f aca="true">IF(A72="","",IF(K72="Denied","Denied",IF(Q72&lt;&gt;"","Closed",IF(L72="","Requested",IF(L72&gt;TODAY(),"Approved, not started",IF(M72&lt;TODAY(),"EXPIRED",IF(M72-TODAY()&lt;=30,"Expiring (30 days or less)","Active")))))))</f>
        <v/>
      </c>
      <c r="P72" s="5"/>
      <c r="Q72" s="5"/>
      <c r="R72" s="6"/>
      <c r="S72" s="6"/>
      <c r="T72" s="8" t="str">
        <f aca="true">IF(AND(P72&lt;&gt;"",Q72="",K72&lt;&gt;"Denied",P72&lt;TODAY()),"Review overdue","")</f>
        <v/>
      </c>
    </row>
    <row r="73" customFormat="false" ht="15" hidden="false" customHeight="false" outlineLevel="0" collapsed="false">
      <c r="A73" s="4"/>
      <c r="B73" s="5"/>
      <c r="C73" s="6"/>
      <c r="D73" s="6"/>
      <c r="E73" s="6"/>
      <c r="F73" s="6"/>
      <c r="G73" s="4"/>
      <c r="H73" s="4"/>
      <c r="I73" s="4"/>
      <c r="J73" s="6"/>
      <c r="K73" s="6"/>
      <c r="L73" s="5"/>
      <c r="M73" s="5"/>
      <c r="N73" s="7" t="str">
        <f aca="true">IF(OR(M73="",Q73&lt;&gt;""),"",M73-TODAY())</f>
        <v/>
      </c>
      <c r="O73" s="8" t="str">
        <f aca="true">IF(A73="","",IF(K73="Denied","Denied",IF(Q73&lt;&gt;"","Closed",IF(L73="","Requested",IF(L73&gt;TODAY(),"Approved, not started",IF(M73&lt;TODAY(),"EXPIRED",IF(M73-TODAY()&lt;=30,"Expiring (30 days or less)","Active")))))))</f>
        <v/>
      </c>
      <c r="P73" s="5"/>
      <c r="Q73" s="5"/>
      <c r="R73" s="6"/>
      <c r="S73" s="6"/>
      <c r="T73" s="8" t="str">
        <f aca="true">IF(AND(P73&lt;&gt;"",Q73="",K73&lt;&gt;"Denied",P73&lt;TODAY()),"Review overdue","")</f>
        <v/>
      </c>
    </row>
    <row r="74" customFormat="false" ht="15" hidden="false" customHeight="false" outlineLevel="0" collapsed="false">
      <c r="A74" s="4"/>
      <c r="B74" s="5"/>
      <c r="C74" s="6"/>
      <c r="D74" s="6"/>
      <c r="E74" s="6"/>
      <c r="F74" s="6"/>
      <c r="G74" s="4"/>
      <c r="H74" s="4"/>
      <c r="I74" s="4"/>
      <c r="J74" s="6"/>
      <c r="K74" s="6"/>
      <c r="L74" s="5"/>
      <c r="M74" s="5"/>
      <c r="N74" s="7" t="str">
        <f aca="true">IF(OR(M74="",Q74&lt;&gt;""),"",M74-TODAY())</f>
        <v/>
      </c>
      <c r="O74" s="8" t="str">
        <f aca="true">IF(A74="","",IF(K74="Denied","Denied",IF(Q74&lt;&gt;"","Closed",IF(L74="","Requested",IF(L74&gt;TODAY(),"Approved, not started",IF(M74&lt;TODAY(),"EXPIRED",IF(M74-TODAY()&lt;=30,"Expiring (30 days or less)","Active")))))))</f>
        <v/>
      </c>
      <c r="P74" s="5"/>
      <c r="Q74" s="5"/>
      <c r="R74" s="6"/>
      <c r="S74" s="6"/>
      <c r="T74" s="8" t="str">
        <f aca="true">IF(AND(P74&lt;&gt;"",Q74="",K74&lt;&gt;"Denied",P74&lt;TODAY()),"Review overdue","")</f>
        <v/>
      </c>
    </row>
    <row r="75" customFormat="false" ht="15" hidden="false" customHeight="false" outlineLevel="0" collapsed="false">
      <c r="A75" s="4"/>
      <c r="B75" s="5"/>
      <c r="C75" s="6"/>
      <c r="D75" s="6"/>
      <c r="E75" s="6"/>
      <c r="F75" s="6"/>
      <c r="G75" s="4"/>
      <c r="H75" s="4"/>
      <c r="I75" s="4"/>
      <c r="J75" s="6"/>
      <c r="K75" s="6"/>
      <c r="L75" s="5"/>
      <c r="M75" s="5"/>
      <c r="N75" s="7" t="str">
        <f aca="true">IF(OR(M75="",Q75&lt;&gt;""),"",M75-TODAY())</f>
        <v/>
      </c>
      <c r="O75" s="8" t="str">
        <f aca="true">IF(A75="","",IF(K75="Denied","Denied",IF(Q75&lt;&gt;"","Closed",IF(L75="","Requested",IF(L75&gt;TODAY(),"Approved, not started",IF(M75&lt;TODAY(),"EXPIRED",IF(M75-TODAY()&lt;=30,"Expiring (30 days or less)","Active")))))))</f>
        <v/>
      </c>
      <c r="P75" s="5"/>
      <c r="Q75" s="5"/>
      <c r="R75" s="6"/>
      <c r="S75" s="6"/>
      <c r="T75" s="8" t="str">
        <f aca="true">IF(AND(P75&lt;&gt;"",Q75="",K75&lt;&gt;"Denied",P75&lt;TODAY()),"Review overdue","")</f>
        <v/>
      </c>
    </row>
    <row r="76" customFormat="false" ht="15" hidden="false" customHeight="false" outlineLevel="0" collapsed="false">
      <c r="A76" s="4"/>
      <c r="B76" s="5"/>
      <c r="C76" s="6"/>
      <c r="D76" s="6"/>
      <c r="E76" s="6"/>
      <c r="F76" s="6"/>
      <c r="G76" s="4"/>
      <c r="H76" s="4"/>
      <c r="I76" s="4"/>
      <c r="J76" s="6"/>
      <c r="K76" s="6"/>
      <c r="L76" s="5"/>
      <c r="M76" s="5"/>
      <c r="N76" s="7" t="str">
        <f aca="true">IF(OR(M76="",Q76&lt;&gt;""),"",M76-TODAY())</f>
        <v/>
      </c>
      <c r="O76" s="8" t="str">
        <f aca="true">IF(A76="","",IF(K76="Denied","Denied",IF(Q76&lt;&gt;"","Closed",IF(L76="","Requested",IF(L76&gt;TODAY(),"Approved, not started",IF(M76&lt;TODAY(),"EXPIRED",IF(M76-TODAY()&lt;=30,"Expiring (30 days or less)","Active")))))))</f>
        <v/>
      </c>
      <c r="P76" s="5"/>
      <c r="Q76" s="5"/>
      <c r="R76" s="6"/>
      <c r="S76" s="6"/>
      <c r="T76" s="8" t="str">
        <f aca="true">IF(AND(P76&lt;&gt;"",Q76="",K76&lt;&gt;"Denied",P76&lt;TODAY()),"Review overdue","")</f>
        <v/>
      </c>
    </row>
    <row r="77" customFormat="false" ht="15" hidden="false" customHeight="false" outlineLevel="0" collapsed="false">
      <c r="A77" s="4"/>
      <c r="B77" s="5"/>
      <c r="C77" s="6"/>
      <c r="D77" s="6"/>
      <c r="E77" s="6"/>
      <c r="F77" s="6"/>
      <c r="G77" s="4"/>
      <c r="H77" s="4"/>
      <c r="I77" s="4"/>
      <c r="J77" s="6"/>
      <c r="K77" s="6"/>
      <c r="L77" s="5"/>
      <c r="M77" s="5"/>
      <c r="N77" s="7" t="str">
        <f aca="true">IF(OR(M77="",Q77&lt;&gt;""),"",M77-TODAY())</f>
        <v/>
      </c>
      <c r="O77" s="8" t="str">
        <f aca="true">IF(A77="","",IF(K77="Denied","Denied",IF(Q77&lt;&gt;"","Closed",IF(L77="","Requested",IF(L77&gt;TODAY(),"Approved, not started",IF(M77&lt;TODAY(),"EXPIRED",IF(M77-TODAY()&lt;=30,"Expiring (30 days or less)","Active")))))))</f>
        <v/>
      </c>
      <c r="P77" s="5"/>
      <c r="Q77" s="5"/>
      <c r="R77" s="6"/>
      <c r="S77" s="6"/>
      <c r="T77" s="8" t="str">
        <f aca="true">IF(AND(P77&lt;&gt;"",Q77="",K77&lt;&gt;"Denied",P77&lt;TODAY()),"Review overdue","")</f>
        <v/>
      </c>
    </row>
    <row r="78" customFormat="false" ht="15" hidden="false" customHeight="false" outlineLevel="0" collapsed="false">
      <c r="A78" s="4"/>
      <c r="B78" s="5"/>
      <c r="C78" s="6"/>
      <c r="D78" s="6"/>
      <c r="E78" s="6"/>
      <c r="F78" s="6"/>
      <c r="G78" s="4"/>
      <c r="H78" s="4"/>
      <c r="I78" s="4"/>
      <c r="J78" s="6"/>
      <c r="K78" s="6"/>
      <c r="L78" s="5"/>
      <c r="M78" s="5"/>
      <c r="N78" s="7" t="str">
        <f aca="true">IF(OR(M78="",Q78&lt;&gt;""),"",M78-TODAY())</f>
        <v/>
      </c>
      <c r="O78" s="8" t="str">
        <f aca="true">IF(A78="","",IF(K78="Denied","Denied",IF(Q78&lt;&gt;"","Closed",IF(L78="","Requested",IF(L78&gt;TODAY(),"Approved, not started",IF(M78&lt;TODAY(),"EXPIRED",IF(M78-TODAY()&lt;=30,"Expiring (30 days or less)","Active")))))))</f>
        <v/>
      </c>
      <c r="P78" s="5"/>
      <c r="Q78" s="5"/>
      <c r="R78" s="6"/>
      <c r="S78" s="6"/>
      <c r="T78" s="8" t="str">
        <f aca="true">IF(AND(P78&lt;&gt;"",Q78="",K78&lt;&gt;"Denied",P78&lt;TODAY()),"Review overdue","")</f>
        <v/>
      </c>
    </row>
    <row r="79" customFormat="false" ht="15" hidden="false" customHeight="false" outlineLevel="0" collapsed="false">
      <c r="A79" s="4"/>
      <c r="B79" s="5"/>
      <c r="C79" s="6"/>
      <c r="D79" s="6"/>
      <c r="E79" s="6"/>
      <c r="F79" s="6"/>
      <c r="G79" s="4"/>
      <c r="H79" s="4"/>
      <c r="I79" s="4"/>
      <c r="J79" s="6"/>
      <c r="K79" s="6"/>
      <c r="L79" s="5"/>
      <c r="M79" s="5"/>
      <c r="N79" s="7" t="str">
        <f aca="true">IF(OR(M79="",Q79&lt;&gt;""),"",M79-TODAY())</f>
        <v/>
      </c>
      <c r="O79" s="8" t="str">
        <f aca="true">IF(A79="","",IF(K79="Denied","Denied",IF(Q79&lt;&gt;"","Closed",IF(L79="","Requested",IF(L79&gt;TODAY(),"Approved, not started",IF(M79&lt;TODAY(),"EXPIRED",IF(M79-TODAY()&lt;=30,"Expiring (30 days or less)","Active")))))))</f>
        <v/>
      </c>
      <c r="P79" s="5"/>
      <c r="Q79" s="5"/>
      <c r="R79" s="6"/>
      <c r="S79" s="6"/>
      <c r="T79" s="8" t="str">
        <f aca="true">IF(AND(P79&lt;&gt;"",Q79="",K79&lt;&gt;"Denied",P79&lt;TODAY()),"Review overdue","")</f>
        <v/>
      </c>
    </row>
    <row r="80" customFormat="false" ht="15" hidden="false" customHeight="false" outlineLevel="0" collapsed="false">
      <c r="A80" s="4"/>
      <c r="B80" s="5"/>
      <c r="C80" s="6"/>
      <c r="D80" s="6"/>
      <c r="E80" s="6"/>
      <c r="F80" s="6"/>
      <c r="G80" s="4"/>
      <c r="H80" s="4"/>
      <c r="I80" s="4"/>
      <c r="J80" s="6"/>
      <c r="K80" s="6"/>
      <c r="L80" s="5"/>
      <c r="M80" s="5"/>
      <c r="N80" s="7" t="str">
        <f aca="true">IF(OR(M80="",Q80&lt;&gt;""),"",M80-TODAY())</f>
        <v/>
      </c>
      <c r="O80" s="8" t="str">
        <f aca="true">IF(A80="","",IF(K80="Denied","Denied",IF(Q80&lt;&gt;"","Closed",IF(L80="","Requested",IF(L80&gt;TODAY(),"Approved, not started",IF(M80&lt;TODAY(),"EXPIRED",IF(M80-TODAY()&lt;=30,"Expiring (30 days or less)","Active")))))))</f>
        <v/>
      </c>
      <c r="P80" s="5"/>
      <c r="Q80" s="5"/>
      <c r="R80" s="6"/>
      <c r="S80" s="6"/>
      <c r="T80" s="8" t="str">
        <f aca="true">IF(AND(P80&lt;&gt;"",Q80="",K80&lt;&gt;"Denied",P80&lt;TODAY()),"Review overdue","")</f>
        <v/>
      </c>
    </row>
    <row r="81" customFormat="false" ht="15" hidden="false" customHeight="false" outlineLevel="0" collapsed="false">
      <c r="A81" s="4"/>
      <c r="B81" s="5"/>
      <c r="C81" s="6"/>
      <c r="D81" s="6"/>
      <c r="E81" s="6"/>
      <c r="F81" s="6"/>
      <c r="G81" s="4"/>
      <c r="H81" s="4"/>
      <c r="I81" s="4"/>
      <c r="J81" s="6"/>
      <c r="K81" s="6"/>
      <c r="L81" s="5"/>
      <c r="M81" s="5"/>
      <c r="N81" s="7" t="str">
        <f aca="true">IF(OR(M81="",Q81&lt;&gt;""),"",M81-TODAY())</f>
        <v/>
      </c>
      <c r="O81" s="8" t="str">
        <f aca="true">IF(A81="","",IF(K81="Denied","Denied",IF(Q81&lt;&gt;"","Closed",IF(L81="","Requested",IF(L81&gt;TODAY(),"Approved, not started",IF(M81&lt;TODAY(),"EXPIRED",IF(M81-TODAY()&lt;=30,"Expiring (30 days or less)","Active")))))))</f>
        <v/>
      </c>
      <c r="P81" s="5"/>
      <c r="Q81" s="5"/>
      <c r="R81" s="6"/>
      <c r="S81" s="6"/>
      <c r="T81" s="8" t="str">
        <f aca="true">IF(AND(P81&lt;&gt;"",Q81="",K81&lt;&gt;"Denied",P81&lt;TODAY()),"Review overdue","")</f>
        <v/>
      </c>
    </row>
    <row r="82" customFormat="false" ht="15" hidden="false" customHeight="false" outlineLevel="0" collapsed="false">
      <c r="A82" s="4"/>
      <c r="B82" s="5"/>
      <c r="C82" s="6"/>
      <c r="D82" s="6"/>
      <c r="E82" s="6"/>
      <c r="F82" s="6"/>
      <c r="G82" s="4"/>
      <c r="H82" s="4"/>
      <c r="I82" s="4"/>
      <c r="J82" s="6"/>
      <c r="K82" s="6"/>
      <c r="L82" s="5"/>
      <c r="M82" s="5"/>
      <c r="N82" s="7" t="str">
        <f aca="true">IF(OR(M82="",Q82&lt;&gt;""),"",M82-TODAY())</f>
        <v/>
      </c>
      <c r="O82" s="8" t="str">
        <f aca="true">IF(A82="","",IF(K82="Denied","Denied",IF(Q82&lt;&gt;"","Closed",IF(L82="","Requested",IF(L82&gt;TODAY(),"Approved, not started",IF(M82&lt;TODAY(),"EXPIRED",IF(M82-TODAY()&lt;=30,"Expiring (30 days or less)","Active")))))))</f>
        <v/>
      </c>
      <c r="P82" s="5"/>
      <c r="Q82" s="5"/>
      <c r="R82" s="6"/>
      <c r="S82" s="6"/>
      <c r="T82" s="8" t="str">
        <f aca="true">IF(AND(P82&lt;&gt;"",Q82="",K82&lt;&gt;"Denied",P82&lt;TODAY()),"Review overdue","")</f>
        <v/>
      </c>
    </row>
    <row r="83" customFormat="false" ht="15" hidden="false" customHeight="false" outlineLevel="0" collapsed="false">
      <c r="A83" s="4"/>
      <c r="B83" s="5"/>
      <c r="C83" s="6"/>
      <c r="D83" s="6"/>
      <c r="E83" s="6"/>
      <c r="F83" s="6"/>
      <c r="G83" s="4"/>
      <c r="H83" s="4"/>
      <c r="I83" s="4"/>
      <c r="J83" s="6"/>
      <c r="K83" s="6"/>
      <c r="L83" s="5"/>
      <c r="M83" s="5"/>
      <c r="N83" s="7" t="str">
        <f aca="true">IF(OR(M83="",Q83&lt;&gt;""),"",M83-TODAY())</f>
        <v/>
      </c>
      <c r="O83" s="8" t="str">
        <f aca="true">IF(A83="","",IF(K83="Denied","Denied",IF(Q83&lt;&gt;"","Closed",IF(L83="","Requested",IF(L83&gt;TODAY(),"Approved, not started",IF(M83&lt;TODAY(),"EXPIRED",IF(M83-TODAY()&lt;=30,"Expiring (30 days or less)","Active")))))))</f>
        <v/>
      </c>
      <c r="P83" s="5"/>
      <c r="Q83" s="5"/>
      <c r="R83" s="6"/>
      <c r="S83" s="6"/>
      <c r="T83" s="8" t="str">
        <f aca="true">IF(AND(P83&lt;&gt;"",Q83="",K83&lt;&gt;"Denied",P83&lt;TODAY()),"Review overdue","")</f>
        <v/>
      </c>
    </row>
    <row r="84" customFormat="false" ht="15" hidden="false" customHeight="false" outlineLevel="0" collapsed="false">
      <c r="A84" s="4"/>
      <c r="B84" s="5"/>
      <c r="C84" s="6"/>
      <c r="D84" s="6"/>
      <c r="E84" s="6"/>
      <c r="F84" s="6"/>
      <c r="G84" s="4"/>
      <c r="H84" s="4"/>
      <c r="I84" s="4"/>
      <c r="J84" s="6"/>
      <c r="K84" s="6"/>
      <c r="L84" s="5"/>
      <c r="M84" s="5"/>
      <c r="N84" s="7" t="str">
        <f aca="true">IF(OR(M84="",Q84&lt;&gt;""),"",M84-TODAY())</f>
        <v/>
      </c>
      <c r="O84" s="8" t="str">
        <f aca="true">IF(A84="","",IF(K84="Denied","Denied",IF(Q84&lt;&gt;"","Closed",IF(L84="","Requested",IF(L84&gt;TODAY(),"Approved, not started",IF(M84&lt;TODAY(),"EXPIRED",IF(M84-TODAY()&lt;=30,"Expiring (30 days or less)","Active")))))))</f>
        <v/>
      </c>
      <c r="P84" s="5"/>
      <c r="Q84" s="5"/>
      <c r="R84" s="6"/>
      <c r="S84" s="6"/>
      <c r="T84" s="8" t="str">
        <f aca="true">IF(AND(P84&lt;&gt;"",Q84="",K84&lt;&gt;"Denied",P84&lt;TODAY()),"Review overdue","")</f>
        <v/>
      </c>
    </row>
    <row r="85" customFormat="false" ht="15" hidden="false" customHeight="false" outlineLevel="0" collapsed="false">
      <c r="A85" s="4"/>
      <c r="B85" s="5"/>
      <c r="C85" s="6"/>
      <c r="D85" s="6"/>
      <c r="E85" s="6"/>
      <c r="F85" s="6"/>
      <c r="G85" s="4"/>
      <c r="H85" s="4"/>
      <c r="I85" s="4"/>
      <c r="J85" s="6"/>
      <c r="K85" s="6"/>
      <c r="L85" s="5"/>
      <c r="M85" s="5"/>
      <c r="N85" s="7" t="str">
        <f aca="true">IF(OR(M85="",Q85&lt;&gt;""),"",M85-TODAY())</f>
        <v/>
      </c>
      <c r="O85" s="8" t="str">
        <f aca="true">IF(A85="","",IF(K85="Denied","Denied",IF(Q85&lt;&gt;"","Closed",IF(L85="","Requested",IF(L85&gt;TODAY(),"Approved, not started",IF(M85&lt;TODAY(),"EXPIRED",IF(M85-TODAY()&lt;=30,"Expiring (30 days or less)","Active")))))))</f>
        <v/>
      </c>
      <c r="P85" s="5"/>
      <c r="Q85" s="5"/>
      <c r="R85" s="6"/>
      <c r="S85" s="6"/>
      <c r="T85" s="8" t="str">
        <f aca="true">IF(AND(P85&lt;&gt;"",Q85="",K85&lt;&gt;"Denied",P85&lt;TODAY()),"Review overdue","")</f>
        <v/>
      </c>
    </row>
    <row r="86" customFormat="false" ht="15" hidden="false" customHeight="false" outlineLevel="0" collapsed="false">
      <c r="A86" s="4"/>
      <c r="B86" s="5"/>
      <c r="C86" s="6"/>
      <c r="D86" s="6"/>
      <c r="E86" s="6"/>
      <c r="F86" s="6"/>
      <c r="G86" s="4"/>
      <c r="H86" s="4"/>
      <c r="I86" s="4"/>
      <c r="J86" s="6"/>
      <c r="K86" s="6"/>
      <c r="L86" s="5"/>
      <c r="M86" s="5"/>
      <c r="N86" s="7" t="str">
        <f aca="true">IF(OR(M86="",Q86&lt;&gt;""),"",M86-TODAY())</f>
        <v/>
      </c>
      <c r="O86" s="8" t="str">
        <f aca="true">IF(A86="","",IF(K86="Denied","Denied",IF(Q86&lt;&gt;"","Closed",IF(L86="","Requested",IF(L86&gt;TODAY(),"Approved, not started",IF(M86&lt;TODAY(),"EXPIRED",IF(M86-TODAY()&lt;=30,"Expiring (30 days or less)","Active")))))))</f>
        <v/>
      </c>
      <c r="P86" s="5"/>
      <c r="Q86" s="5"/>
      <c r="R86" s="6"/>
      <c r="S86" s="6"/>
      <c r="T86" s="8" t="str">
        <f aca="true">IF(AND(P86&lt;&gt;"",Q86="",K86&lt;&gt;"Denied",P86&lt;TODAY()),"Review overdue","")</f>
        <v/>
      </c>
    </row>
    <row r="87" customFormat="false" ht="15" hidden="false" customHeight="false" outlineLevel="0" collapsed="false">
      <c r="A87" s="4"/>
      <c r="B87" s="5"/>
      <c r="C87" s="6"/>
      <c r="D87" s="6"/>
      <c r="E87" s="6"/>
      <c r="F87" s="6"/>
      <c r="G87" s="4"/>
      <c r="H87" s="4"/>
      <c r="I87" s="4"/>
      <c r="J87" s="6"/>
      <c r="K87" s="6"/>
      <c r="L87" s="5"/>
      <c r="M87" s="5"/>
      <c r="N87" s="7" t="str">
        <f aca="true">IF(OR(M87="",Q87&lt;&gt;""),"",M87-TODAY())</f>
        <v/>
      </c>
      <c r="O87" s="8" t="str">
        <f aca="true">IF(A87="","",IF(K87="Denied","Denied",IF(Q87&lt;&gt;"","Closed",IF(L87="","Requested",IF(L87&gt;TODAY(),"Approved, not started",IF(M87&lt;TODAY(),"EXPIRED",IF(M87-TODAY()&lt;=30,"Expiring (30 days or less)","Active")))))))</f>
        <v/>
      </c>
      <c r="P87" s="5"/>
      <c r="Q87" s="5"/>
      <c r="R87" s="6"/>
      <c r="S87" s="6"/>
      <c r="T87" s="8" t="str">
        <f aca="true">IF(AND(P87&lt;&gt;"",Q87="",K87&lt;&gt;"Denied",P87&lt;TODAY()),"Review overdue","")</f>
        <v/>
      </c>
    </row>
    <row r="88" customFormat="false" ht="15" hidden="false" customHeight="false" outlineLevel="0" collapsed="false">
      <c r="A88" s="4"/>
      <c r="B88" s="5"/>
      <c r="C88" s="6"/>
      <c r="D88" s="6"/>
      <c r="E88" s="6"/>
      <c r="F88" s="6"/>
      <c r="G88" s="4"/>
      <c r="H88" s="4"/>
      <c r="I88" s="4"/>
      <c r="J88" s="6"/>
      <c r="K88" s="6"/>
      <c r="L88" s="5"/>
      <c r="M88" s="5"/>
      <c r="N88" s="7" t="str">
        <f aca="true">IF(OR(M88="",Q88&lt;&gt;""),"",M88-TODAY())</f>
        <v/>
      </c>
      <c r="O88" s="8" t="str">
        <f aca="true">IF(A88="","",IF(K88="Denied","Denied",IF(Q88&lt;&gt;"","Closed",IF(L88="","Requested",IF(L88&gt;TODAY(),"Approved, not started",IF(M88&lt;TODAY(),"EXPIRED",IF(M88-TODAY()&lt;=30,"Expiring (30 days or less)","Active")))))))</f>
        <v/>
      </c>
      <c r="P88" s="5"/>
      <c r="Q88" s="5"/>
      <c r="R88" s="6"/>
      <c r="S88" s="6"/>
      <c r="T88" s="8" t="str">
        <f aca="true">IF(AND(P88&lt;&gt;"",Q88="",K88&lt;&gt;"Denied",P88&lt;TODAY()),"Review overdue","")</f>
        <v/>
      </c>
    </row>
    <row r="89" customFormat="false" ht="15" hidden="false" customHeight="false" outlineLevel="0" collapsed="false">
      <c r="A89" s="4"/>
      <c r="B89" s="5"/>
      <c r="C89" s="6"/>
      <c r="D89" s="6"/>
      <c r="E89" s="6"/>
      <c r="F89" s="6"/>
      <c r="G89" s="4"/>
      <c r="H89" s="4"/>
      <c r="I89" s="4"/>
      <c r="J89" s="6"/>
      <c r="K89" s="6"/>
      <c r="L89" s="5"/>
      <c r="M89" s="5"/>
      <c r="N89" s="7" t="str">
        <f aca="true">IF(OR(M89="",Q89&lt;&gt;""),"",M89-TODAY())</f>
        <v/>
      </c>
      <c r="O89" s="8" t="str">
        <f aca="true">IF(A89="","",IF(K89="Denied","Denied",IF(Q89&lt;&gt;"","Closed",IF(L89="","Requested",IF(L89&gt;TODAY(),"Approved, not started",IF(M89&lt;TODAY(),"EXPIRED",IF(M89-TODAY()&lt;=30,"Expiring (30 days or less)","Active")))))))</f>
        <v/>
      </c>
      <c r="P89" s="5"/>
      <c r="Q89" s="5"/>
      <c r="R89" s="6"/>
      <c r="S89" s="6"/>
      <c r="T89" s="8" t="str">
        <f aca="true">IF(AND(P89&lt;&gt;"",Q89="",K89&lt;&gt;"Denied",P89&lt;TODAY()),"Review overdue","")</f>
        <v/>
      </c>
    </row>
    <row r="90" customFormat="false" ht="15" hidden="false" customHeight="false" outlineLevel="0" collapsed="false">
      <c r="A90" s="4"/>
      <c r="B90" s="5"/>
      <c r="C90" s="6"/>
      <c r="D90" s="6"/>
      <c r="E90" s="6"/>
      <c r="F90" s="6"/>
      <c r="G90" s="4"/>
      <c r="H90" s="4"/>
      <c r="I90" s="4"/>
      <c r="J90" s="6"/>
      <c r="K90" s="6"/>
      <c r="L90" s="5"/>
      <c r="M90" s="5"/>
      <c r="N90" s="7" t="str">
        <f aca="true">IF(OR(M90="",Q90&lt;&gt;""),"",M90-TODAY())</f>
        <v/>
      </c>
      <c r="O90" s="8" t="str">
        <f aca="true">IF(A90="","",IF(K90="Denied","Denied",IF(Q90&lt;&gt;"","Closed",IF(L90="","Requested",IF(L90&gt;TODAY(),"Approved, not started",IF(M90&lt;TODAY(),"EXPIRED",IF(M90-TODAY()&lt;=30,"Expiring (30 days or less)","Active")))))))</f>
        <v/>
      </c>
      <c r="P90" s="5"/>
      <c r="Q90" s="5"/>
      <c r="R90" s="6"/>
      <c r="S90" s="6"/>
      <c r="T90" s="8" t="str">
        <f aca="true">IF(AND(P90&lt;&gt;"",Q90="",K90&lt;&gt;"Denied",P90&lt;TODAY()),"Review overdue","")</f>
        <v/>
      </c>
    </row>
    <row r="91" customFormat="false" ht="15" hidden="false" customHeight="false" outlineLevel="0" collapsed="false">
      <c r="A91" s="4"/>
      <c r="B91" s="5"/>
      <c r="C91" s="6"/>
      <c r="D91" s="6"/>
      <c r="E91" s="6"/>
      <c r="F91" s="6"/>
      <c r="G91" s="4"/>
      <c r="H91" s="4"/>
      <c r="I91" s="4"/>
      <c r="J91" s="6"/>
      <c r="K91" s="6"/>
      <c r="L91" s="5"/>
      <c r="M91" s="5"/>
      <c r="N91" s="7" t="str">
        <f aca="true">IF(OR(M91="",Q91&lt;&gt;""),"",M91-TODAY())</f>
        <v/>
      </c>
      <c r="O91" s="8" t="str">
        <f aca="true">IF(A91="","",IF(K91="Denied","Denied",IF(Q91&lt;&gt;"","Closed",IF(L91="","Requested",IF(L91&gt;TODAY(),"Approved, not started",IF(M91&lt;TODAY(),"EXPIRED",IF(M91-TODAY()&lt;=30,"Expiring (30 days or less)","Active")))))))</f>
        <v/>
      </c>
      <c r="P91" s="5"/>
      <c r="Q91" s="5"/>
      <c r="R91" s="6"/>
      <c r="S91" s="6"/>
      <c r="T91" s="8" t="str">
        <f aca="true">IF(AND(P91&lt;&gt;"",Q91="",K91&lt;&gt;"Denied",P91&lt;TODAY()),"Review overdue","")</f>
        <v/>
      </c>
    </row>
    <row r="92" customFormat="false" ht="15" hidden="false" customHeight="false" outlineLevel="0" collapsed="false">
      <c r="A92" s="4"/>
      <c r="B92" s="5"/>
      <c r="C92" s="6"/>
      <c r="D92" s="6"/>
      <c r="E92" s="6"/>
      <c r="F92" s="6"/>
      <c r="G92" s="4"/>
      <c r="H92" s="4"/>
      <c r="I92" s="4"/>
      <c r="J92" s="6"/>
      <c r="K92" s="6"/>
      <c r="L92" s="5"/>
      <c r="M92" s="5"/>
      <c r="N92" s="7" t="str">
        <f aca="true">IF(OR(M92="",Q92&lt;&gt;""),"",M92-TODAY())</f>
        <v/>
      </c>
      <c r="O92" s="8" t="str">
        <f aca="true">IF(A92="","",IF(K92="Denied","Denied",IF(Q92&lt;&gt;"","Closed",IF(L92="","Requested",IF(L92&gt;TODAY(),"Approved, not started",IF(M92&lt;TODAY(),"EXPIRED",IF(M92-TODAY()&lt;=30,"Expiring (30 days or less)","Active")))))))</f>
        <v/>
      </c>
      <c r="P92" s="5"/>
      <c r="Q92" s="5"/>
      <c r="R92" s="6"/>
      <c r="S92" s="6"/>
      <c r="T92" s="8" t="str">
        <f aca="true">IF(AND(P92&lt;&gt;"",Q92="",K92&lt;&gt;"Denied",P92&lt;TODAY()),"Review overdue","")</f>
        <v/>
      </c>
    </row>
    <row r="93" customFormat="false" ht="15" hidden="false" customHeight="false" outlineLevel="0" collapsed="false">
      <c r="A93" s="4"/>
      <c r="B93" s="5"/>
      <c r="C93" s="6"/>
      <c r="D93" s="6"/>
      <c r="E93" s="6"/>
      <c r="F93" s="6"/>
      <c r="G93" s="4"/>
      <c r="H93" s="4"/>
      <c r="I93" s="4"/>
      <c r="J93" s="6"/>
      <c r="K93" s="6"/>
      <c r="L93" s="5"/>
      <c r="M93" s="5"/>
      <c r="N93" s="7" t="str">
        <f aca="true">IF(OR(M93="",Q93&lt;&gt;""),"",M93-TODAY())</f>
        <v/>
      </c>
      <c r="O93" s="8" t="str">
        <f aca="true">IF(A93="","",IF(K93="Denied","Denied",IF(Q93&lt;&gt;"","Closed",IF(L93="","Requested",IF(L93&gt;TODAY(),"Approved, not started",IF(M93&lt;TODAY(),"EXPIRED",IF(M93-TODAY()&lt;=30,"Expiring (30 days or less)","Active")))))))</f>
        <v/>
      </c>
      <c r="P93" s="5"/>
      <c r="Q93" s="5"/>
      <c r="R93" s="6"/>
      <c r="S93" s="6"/>
      <c r="T93" s="8" t="str">
        <f aca="true">IF(AND(P93&lt;&gt;"",Q93="",K93&lt;&gt;"Denied",P93&lt;TODAY()),"Review overdue","")</f>
        <v/>
      </c>
    </row>
    <row r="94" customFormat="false" ht="15" hidden="false" customHeight="false" outlineLevel="0" collapsed="false">
      <c r="A94" s="4"/>
      <c r="B94" s="5"/>
      <c r="C94" s="6"/>
      <c r="D94" s="6"/>
      <c r="E94" s="6"/>
      <c r="F94" s="6"/>
      <c r="G94" s="4"/>
      <c r="H94" s="4"/>
      <c r="I94" s="4"/>
      <c r="J94" s="6"/>
      <c r="K94" s="6"/>
      <c r="L94" s="5"/>
      <c r="M94" s="5"/>
      <c r="N94" s="7" t="str">
        <f aca="true">IF(OR(M94="",Q94&lt;&gt;""),"",M94-TODAY())</f>
        <v/>
      </c>
      <c r="O94" s="8" t="str">
        <f aca="true">IF(A94="","",IF(K94="Denied","Denied",IF(Q94&lt;&gt;"","Closed",IF(L94="","Requested",IF(L94&gt;TODAY(),"Approved, not started",IF(M94&lt;TODAY(),"EXPIRED",IF(M94-TODAY()&lt;=30,"Expiring (30 days or less)","Active")))))))</f>
        <v/>
      </c>
      <c r="P94" s="5"/>
      <c r="Q94" s="5"/>
      <c r="R94" s="6"/>
      <c r="S94" s="6"/>
      <c r="T94" s="8" t="str">
        <f aca="true">IF(AND(P94&lt;&gt;"",Q94="",K94&lt;&gt;"Denied",P94&lt;TODAY()),"Review overdue","")</f>
        <v/>
      </c>
    </row>
    <row r="95" customFormat="false" ht="15" hidden="false" customHeight="false" outlineLevel="0" collapsed="false">
      <c r="A95" s="4"/>
      <c r="B95" s="5"/>
      <c r="C95" s="6"/>
      <c r="D95" s="6"/>
      <c r="E95" s="6"/>
      <c r="F95" s="6"/>
      <c r="G95" s="4"/>
      <c r="H95" s="4"/>
      <c r="I95" s="4"/>
      <c r="J95" s="6"/>
      <c r="K95" s="6"/>
      <c r="L95" s="5"/>
      <c r="M95" s="5"/>
      <c r="N95" s="7" t="str">
        <f aca="true">IF(OR(M95="",Q95&lt;&gt;""),"",M95-TODAY())</f>
        <v/>
      </c>
      <c r="O95" s="8" t="str">
        <f aca="true">IF(A95="","",IF(K95="Denied","Denied",IF(Q95&lt;&gt;"","Closed",IF(L95="","Requested",IF(L95&gt;TODAY(),"Approved, not started",IF(M95&lt;TODAY(),"EXPIRED",IF(M95-TODAY()&lt;=30,"Expiring (30 days or less)","Active")))))))</f>
        <v/>
      </c>
      <c r="P95" s="5"/>
      <c r="Q95" s="5"/>
      <c r="R95" s="6"/>
      <c r="S95" s="6"/>
      <c r="T95" s="8" t="str">
        <f aca="true">IF(AND(P95&lt;&gt;"",Q95="",K95&lt;&gt;"Denied",P95&lt;TODAY()),"Review overdue","")</f>
        <v/>
      </c>
    </row>
    <row r="96" customFormat="false" ht="15" hidden="false" customHeight="false" outlineLevel="0" collapsed="false">
      <c r="A96" s="4"/>
      <c r="B96" s="5"/>
      <c r="C96" s="6"/>
      <c r="D96" s="6"/>
      <c r="E96" s="6"/>
      <c r="F96" s="6"/>
      <c r="G96" s="4"/>
      <c r="H96" s="4"/>
      <c r="I96" s="4"/>
      <c r="J96" s="6"/>
      <c r="K96" s="6"/>
      <c r="L96" s="5"/>
      <c r="M96" s="5"/>
      <c r="N96" s="7" t="str">
        <f aca="true">IF(OR(M96="",Q96&lt;&gt;""),"",M96-TODAY())</f>
        <v/>
      </c>
      <c r="O96" s="8" t="str">
        <f aca="true">IF(A96="","",IF(K96="Denied","Denied",IF(Q96&lt;&gt;"","Closed",IF(L96="","Requested",IF(L96&gt;TODAY(),"Approved, not started",IF(M96&lt;TODAY(),"EXPIRED",IF(M96-TODAY()&lt;=30,"Expiring (30 days or less)","Active")))))))</f>
        <v/>
      </c>
      <c r="P96" s="5"/>
      <c r="Q96" s="5"/>
      <c r="R96" s="6"/>
      <c r="S96" s="6"/>
      <c r="T96" s="8" t="str">
        <f aca="true">IF(AND(P96&lt;&gt;"",Q96="",K96&lt;&gt;"Denied",P96&lt;TODAY()),"Review overdue","")</f>
        <v/>
      </c>
    </row>
    <row r="97" customFormat="false" ht="15" hidden="false" customHeight="false" outlineLevel="0" collapsed="false">
      <c r="A97" s="4"/>
      <c r="B97" s="5"/>
      <c r="C97" s="6"/>
      <c r="D97" s="6"/>
      <c r="E97" s="6"/>
      <c r="F97" s="6"/>
      <c r="G97" s="4"/>
      <c r="H97" s="4"/>
      <c r="I97" s="4"/>
      <c r="J97" s="6"/>
      <c r="K97" s="6"/>
      <c r="L97" s="5"/>
      <c r="M97" s="5"/>
      <c r="N97" s="7" t="str">
        <f aca="true">IF(OR(M97="",Q97&lt;&gt;""),"",M97-TODAY())</f>
        <v/>
      </c>
      <c r="O97" s="8" t="str">
        <f aca="true">IF(A97="","",IF(K97="Denied","Denied",IF(Q97&lt;&gt;"","Closed",IF(L97="","Requested",IF(L97&gt;TODAY(),"Approved, not started",IF(M97&lt;TODAY(),"EXPIRED",IF(M97-TODAY()&lt;=30,"Expiring (30 days or less)","Active")))))))</f>
        <v/>
      </c>
      <c r="P97" s="5"/>
      <c r="Q97" s="5"/>
      <c r="R97" s="6"/>
      <c r="S97" s="6"/>
      <c r="T97" s="8" t="str">
        <f aca="true">IF(AND(P97&lt;&gt;"",Q97="",K97&lt;&gt;"Denied",P97&lt;TODAY()),"Review overdue","")</f>
        <v/>
      </c>
    </row>
    <row r="98" customFormat="false" ht="15" hidden="false" customHeight="false" outlineLevel="0" collapsed="false">
      <c r="A98" s="4"/>
      <c r="B98" s="5"/>
      <c r="C98" s="6"/>
      <c r="D98" s="6"/>
      <c r="E98" s="6"/>
      <c r="F98" s="6"/>
      <c r="G98" s="4"/>
      <c r="H98" s="4"/>
      <c r="I98" s="4"/>
      <c r="J98" s="6"/>
      <c r="K98" s="6"/>
      <c r="L98" s="5"/>
      <c r="M98" s="5"/>
      <c r="N98" s="7" t="str">
        <f aca="true">IF(OR(M98="",Q98&lt;&gt;""),"",M98-TODAY())</f>
        <v/>
      </c>
      <c r="O98" s="8" t="str">
        <f aca="true">IF(A98="","",IF(K98="Denied","Denied",IF(Q98&lt;&gt;"","Closed",IF(L98="","Requested",IF(L98&gt;TODAY(),"Approved, not started",IF(M98&lt;TODAY(),"EXPIRED",IF(M98-TODAY()&lt;=30,"Expiring (30 days or less)","Active")))))))</f>
        <v/>
      </c>
      <c r="P98" s="5"/>
      <c r="Q98" s="5"/>
      <c r="R98" s="6"/>
      <c r="S98" s="6"/>
      <c r="T98" s="8" t="str">
        <f aca="true">IF(AND(P98&lt;&gt;"",Q98="",K98&lt;&gt;"Denied",P98&lt;TODAY()),"Review overdue","")</f>
        <v/>
      </c>
    </row>
    <row r="99" customFormat="false" ht="15" hidden="false" customHeight="false" outlineLevel="0" collapsed="false">
      <c r="A99" s="4"/>
      <c r="B99" s="5"/>
      <c r="C99" s="6"/>
      <c r="D99" s="6"/>
      <c r="E99" s="6"/>
      <c r="F99" s="6"/>
      <c r="G99" s="4"/>
      <c r="H99" s="4"/>
      <c r="I99" s="4"/>
      <c r="J99" s="6"/>
      <c r="K99" s="6"/>
      <c r="L99" s="5"/>
      <c r="M99" s="5"/>
      <c r="N99" s="7" t="str">
        <f aca="true">IF(OR(M99="",Q99&lt;&gt;""),"",M99-TODAY())</f>
        <v/>
      </c>
      <c r="O99" s="8" t="str">
        <f aca="true">IF(A99="","",IF(K99="Denied","Denied",IF(Q99&lt;&gt;"","Closed",IF(L99="","Requested",IF(L99&gt;TODAY(),"Approved, not started",IF(M99&lt;TODAY(),"EXPIRED",IF(M99-TODAY()&lt;=30,"Expiring (30 days or less)","Active")))))))</f>
        <v/>
      </c>
      <c r="P99" s="5"/>
      <c r="Q99" s="5"/>
      <c r="R99" s="6"/>
      <c r="S99" s="6"/>
      <c r="T99" s="8" t="str">
        <f aca="true">IF(AND(P99&lt;&gt;"",Q99="",K99&lt;&gt;"Denied",P99&lt;TODAY()),"Review overdue","")</f>
        <v/>
      </c>
    </row>
    <row r="100" customFormat="false" ht="15" hidden="false" customHeight="false" outlineLevel="0" collapsed="false">
      <c r="A100" s="4"/>
      <c r="B100" s="5"/>
      <c r="C100" s="6"/>
      <c r="D100" s="6"/>
      <c r="E100" s="6"/>
      <c r="F100" s="6"/>
      <c r="G100" s="4"/>
      <c r="H100" s="4"/>
      <c r="I100" s="4"/>
      <c r="J100" s="6"/>
      <c r="K100" s="6"/>
      <c r="L100" s="5"/>
      <c r="M100" s="5"/>
      <c r="N100" s="7" t="str">
        <f aca="true">IF(OR(M100="",Q100&lt;&gt;""),"",M100-TODAY())</f>
        <v/>
      </c>
      <c r="O100" s="8" t="str">
        <f aca="true">IF(A100="","",IF(K100="Denied","Denied",IF(Q100&lt;&gt;"","Closed",IF(L100="","Requested",IF(L100&gt;TODAY(),"Approved, not started",IF(M100&lt;TODAY(),"EXPIRED",IF(M100-TODAY()&lt;=30,"Expiring (30 days or less)","Active")))))))</f>
        <v/>
      </c>
      <c r="P100" s="5"/>
      <c r="Q100" s="5"/>
      <c r="R100" s="6"/>
      <c r="S100" s="6"/>
      <c r="T100" s="8" t="str">
        <f aca="true">IF(AND(P100&lt;&gt;"",Q100="",K100&lt;&gt;"Denied",P100&lt;TODAY()),"Review overdue","")</f>
        <v/>
      </c>
    </row>
    <row r="101" customFormat="false" ht="15" hidden="false" customHeight="false" outlineLevel="0" collapsed="false">
      <c r="A101" s="4"/>
      <c r="B101" s="5"/>
      <c r="C101" s="6"/>
      <c r="D101" s="6"/>
      <c r="E101" s="6"/>
      <c r="F101" s="6"/>
      <c r="G101" s="4"/>
      <c r="H101" s="4"/>
      <c r="I101" s="4"/>
      <c r="J101" s="6"/>
      <c r="K101" s="6"/>
      <c r="L101" s="5"/>
      <c r="M101" s="5"/>
      <c r="N101" s="7" t="str">
        <f aca="true">IF(OR(M101="",Q101&lt;&gt;""),"",M101-TODAY())</f>
        <v/>
      </c>
      <c r="O101" s="8" t="str">
        <f aca="true">IF(A101="","",IF(K101="Denied","Denied",IF(Q101&lt;&gt;"","Closed",IF(L101="","Requested",IF(L101&gt;TODAY(),"Approved, not started",IF(M101&lt;TODAY(),"EXPIRED",IF(M101-TODAY()&lt;=30,"Expiring (30 days or less)","Active")))))))</f>
        <v/>
      </c>
      <c r="P101" s="5"/>
      <c r="Q101" s="5"/>
      <c r="R101" s="6"/>
      <c r="S101" s="6"/>
      <c r="T101" s="8" t="str">
        <f aca="true">IF(AND(P101&lt;&gt;"",Q101="",K101&lt;&gt;"Denied",P101&lt;TODAY()),"Review overdue","")</f>
        <v/>
      </c>
    </row>
    <row r="102" customFormat="false" ht="15" hidden="false" customHeight="false" outlineLevel="0" collapsed="false">
      <c r="A102" s="4"/>
      <c r="B102" s="5"/>
      <c r="C102" s="6"/>
      <c r="D102" s="6"/>
      <c r="E102" s="6"/>
      <c r="F102" s="6"/>
      <c r="G102" s="4"/>
      <c r="H102" s="4"/>
      <c r="I102" s="4"/>
      <c r="J102" s="6"/>
      <c r="K102" s="6"/>
      <c r="L102" s="5"/>
      <c r="M102" s="5"/>
      <c r="N102" s="7" t="str">
        <f aca="true">IF(OR(M102="",Q102&lt;&gt;""),"",M102-TODAY())</f>
        <v/>
      </c>
      <c r="O102" s="8" t="str">
        <f aca="true">IF(A102="","",IF(K102="Denied","Denied",IF(Q102&lt;&gt;"","Closed",IF(L102="","Requested",IF(L102&gt;TODAY(),"Approved, not started",IF(M102&lt;TODAY(),"EXPIRED",IF(M102-TODAY()&lt;=30,"Expiring (30 days or less)","Active")))))))</f>
        <v/>
      </c>
      <c r="P102" s="5"/>
      <c r="Q102" s="5"/>
      <c r="R102" s="6"/>
      <c r="S102" s="6"/>
      <c r="T102" s="8" t="str">
        <f aca="true">IF(AND(P102&lt;&gt;"",Q102="",K102&lt;&gt;"Denied",P102&lt;TODAY()),"Review overdue","")</f>
        <v/>
      </c>
    </row>
    <row r="103" customFormat="false" ht="15" hidden="false" customHeight="false" outlineLevel="0" collapsed="false">
      <c r="A103" s="4"/>
      <c r="B103" s="5"/>
      <c r="C103" s="6"/>
      <c r="D103" s="6"/>
      <c r="E103" s="6"/>
      <c r="F103" s="6"/>
      <c r="G103" s="4"/>
      <c r="H103" s="4"/>
      <c r="I103" s="4"/>
      <c r="J103" s="6"/>
      <c r="K103" s="6"/>
      <c r="L103" s="5"/>
      <c r="M103" s="5"/>
      <c r="N103" s="7" t="str">
        <f aca="true">IF(OR(M103="",Q103&lt;&gt;""),"",M103-TODAY())</f>
        <v/>
      </c>
      <c r="O103" s="8" t="str">
        <f aca="true">IF(A103="","",IF(K103="Denied","Denied",IF(Q103&lt;&gt;"","Closed",IF(L103="","Requested",IF(L103&gt;TODAY(),"Approved, not started",IF(M103&lt;TODAY(),"EXPIRED",IF(M103-TODAY()&lt;=30,"Expiring (30 days or less)","Active")))))))</f>
        <v/>
      </c>
      <c r="P103" s="5"/>
      <c r="Q103" s="5"/>
      <c r="R103" s="6"/>
      <c r="S103" s="6"/>
      <c r="T103" s="8" t="str">
        <f aca="true">IF(AND(P103&lt;&gt;"",Q103="",K103&lt;&gt;"Denied",P103&lt;TODAY()),"Review overdue","")</f>
        <v/>
      </c>
    </row>
    <row r="104" customFormat="false" ht="15" hidden="false" customHeight="false" outlineLevel="0" collapsed="false">
      <c r="A104" s="4"/>
      <c r="B104" s="5"/>
      <c r="C104" s="6"/>
      <c r="D104" s="6"/>
      <c r="E104" s="6"/>
      <c r="F104" s="6"/>
      <c r="G104" s="4"/>
      <c r="H104" s="4"/>
      <c r="I104" s="4"/>
      <c r="J104" s="6"/>
      <c r="K104" s="6"/>
      <c r="L104" s="5"/>
      <c r="M104" s="5"/>
      <c r="N104" s="7" t="str">
        <f aca="true">IF(OR(M104="",Q104&lt;&gt;""),"",M104-TODAY())</f>
        <v/>
      </c>
      <c r="O104" s="8" t="str">
        <f aca="true">IF(A104="","",IF(K104="Denied","Denied",IF(Q104&lt;&gt;"","Closed",IF(L104="","Requested",IF(L104&gt;TODAY(),"Approved, not started",IF(M104&lt;TODAY(),"EXPIRED",IF(M104-TODAY()&lt;=30,"Expiring (30 days or less)","Active")))))))</f>
        <v/>
      </c>
      <c r="P104" s="5"/>
      <c r="Q104" s="5"/>
      <c r="R104" s="6"/>
      <c r="S104" s="6"/>
      <c r="T104" s="8" t="str">
        <f aca="true">IF(AND(P104&lt;&gt;"",Q104="",K104&lt;&gt;"Denied",P104&lt;TODAY()),"Review overdue","")</f>
        <v/>
      </c>
    </row>
    <row r="105" customFormat="false" ht="15" hidden="false" customHeight="false" outlineLevel="0" collapsed="false">
      <c r="A105" s="4"/>
      <c r="B105" s="5"/>
      <c r="C105" s="6"/>
      <c r="D105" s="6"/>
      <c r="E105" s="6"/>
      <c r="F105" s="6"/>
      <c r="G105" s="4"/>
      <c r="H105" s="4"/>
      <c r="I105" s="4"/>
      <c r="J105" s="6"/>
      <c r="K105" s="6"/>
      <c r="L105" s="5"/>
      <c r="M105" s="5"/>
      <c r="N105" s="7" t="str">
        <f aca="true">IF(OR(M105="",Q105&lt;&gt;""),"",M105-TODAY())</f>
        <v/>
      </c>
      <c r="O105" s="8" t="str">
        <f aca="true">IF(A105="","",IF(K105="Denied","Denied",IF(Q105&lt;&gt;"","Closed",IF(L105="","Requested",IF(L105&gt;TODAY(),"Approved, not started",IF(M105&lt;TODAY(),"EXPIRED",IF(M105-TODAY()&lt;=30,"Expiring (30 days or less)","Active")))))))</f>
        <v/>
      </c>
      <c r="P105" s="5"/>
      <c r="Q105" s="5"/>
      <c r="R105" s="6"/>
      <c r="S105" s="6"/>
      <c r="T105" s="8" t="str">
        <f aca="true">IF(AND(P105&lt;&gt;"",Q105="",K105&lt;&gt;"Denied",P105&lt;TODAY()),"Review overdue","")</f>
        <v/>
      </c>
    </row>
    <row r="106" customFormat="false" ht="15" hidden="false" customHeight="false" outlineLevel="0" collapsed="false">
      <c r="A106" s="4"/>
      <c r="B106" s="5"/>
      <c r="C106" s="6"/>
      <c r="D106" s="6"/>
      <c r="E106" s="6"/>
      <c r="F106" s="6"/>
      <c r="G106" s="4"/>
      <c r="H106" s="4"/>
      <c r="I106" s="4"/>
      <c r="J106" s="6"/>
      <c r="K106" s="6"/>
      <c r="L106" s="5"/>
      <c r="M106" s="5"/>
      <c r="N106" s="7" t="str">
        <f aca="true">IF(OR(M106="",Q106&lt;&gt;""),"",M106-TODAY())</f>
        <v/>
      </c>
      <c r="O106" s="8" t="str">
        <f aca="true">IF(A106="","",IF(K106="Denied","Denied",IF(Q106&lt;&gt;"","Closed",IF(L106="","Requested",IF(L106&gt;TODAY(),"Approved, not started",IF(M106&lt;TODAY(),"EXPIRED",IF(M106-TODAY()&lt;=30,"Expiring (30 days or less)","Active")))))))</f>
        <v/>
      </c>
      <c r="P106" s="5"/>
      <c r="Q106" s="5"/>
      <c r="R106" s="6"/>
      <c r="S106" s="6"/>
      <c r="T106" s="8" t="str">
        <f aca="true">IF(AND(P106&lt;&gt;"",Q106="",K106&lt;&gt;"Denied",P106&lt;TODAY()),"Review overdue","")</f>
        <v/>
      </c>
    </row>
    <row r="107" customFormat="false" ht="15" hidden="false" customHeight="false" outlineLevel="0" collapsed="false">
      <c r="A107" s="4"/>
      <c r="B107" s="5"/>
      <c r="C107" s="6"/>
      <c r="D107" s="6"/>
      <c r="E107" s="6"/>
      <c r="F107" s="6"/>
      <c r="G107" s="4"/>
      <c r="H107" s="4"/>
      <c r="I107" s="4"/>
      <c r="J107" s="6"/>
      <c r="K107" s="6"/>
      <c r="L107" s="5"/>
      <c r="M107" s="5"/>
      <c r="N107" s="7" t="str">
        <f aca="true">IF(OR(M107="",Q107&lt;&gt;""),"",M107-TODAY())</f>
        <v/>
      </c>
      <c r="O107" s="8" t="str">
        <f aca="true">IF(A107="","",IF(K107="Denied","Denied",IF(Q107&lt;&gt;"","Closed",IF(L107="","Requested",IF(L107&gt;TODAY(),"Approved, not started",IF(M107&lt;TODAY(),"EXPIRED",IF(M107-TODAY()&lt;=30,"Expiring (30 days or less)","Active")))))))</f>
        <v/>
      </c>
      <c r="P107" s="5"/>
      <c r="Q107" s="5"/>
      <c r="R107" s="6"/>
      <c r="S107" s="6"/>
      <c r="T107" s="8" t="str">
        <f aca="true">IF(AND(P107&lt;&gt;"",Q107="",K107&lt;&gt;"Denied",P107&lt;TODAY()),"Review overdue","")</f>
        <v/>
      </c>
    </row>
    <row r="108" customFormat="false" ht="15" hidden="false" customHeight="false" outlineLevel="0" collapsed="false">
      <c r="A108" s="4"/>
      <c r="B108" s="5"/>
      <c r="C108" s="6"/>
      <c r="D108" s="6"/>
      <c r="E108" s="6"/>
      <c r="F108" s="6"/>
      <c r="G108" s="4"/>
      <c r="H108" s="4"/>
      <c r="I108" s="4"/>
      <c r="J108" s="6"/>
      <c r="K108" s="6"/>
      <c r="L108" s="5"/>
      <c r="M108" s="5"/>
      <c r="N108" s="7" t="str">
        <f aca="true">IF(OR(M108="",Q108&lt;&gt;""),"",M108-TODAY())</f>
        <v/>
      </c>
      <c r="O108" s="8" t="str">
        <f aca="true">IF(A108="","",IF(K108="Denied","Denied",IF(Q108&lt;&gt;"","Closed",IF(L108="","Requested",IF(L108&gt;TODAY(),"Approved, not started",IF(M108&lt;TODAY(),"EXPIRED",IF(M108-TODAY()&lt;=30,"Expiring (30 days or less)","Active")))))))</f>
        <v/>
      </c>
      <c r="P108" s="5"/>
      <c r="Q108" s="5"/>
      <c r="R108" s="6"/>
      <c r="S108" s="6"/>
      <c r="T108" s="8" t="str">
        <f aca="true">IF(AND(P108&lt;&gt;"",Q108="",K108&lt;&gt;"Denied",P108&lt;TODAY()),"Review overdue","")</f>
        <v/>
      </c>
    </row>
    <row r="109" customFormat="false" ht="15" hidden="false" customHeight="false" outlineLevel="0" collapsed="false">
      <c r="A109" s="4"/>
      <c r="B109" s="5"/>
      <c r="C109" s="6"/>
      <c r="D109" s="6"/>
      <c r="E109" s="6"/>
      <c r="F109" s="6"/>
      <c r="G109" s="4"/>
      <c r="H109" s="4"/>
      <c r="I109" s="4"/>
      <c r="J109" s="6"/>
      <c r="K109" s="6"/>
      <c r="L109" s="5"/>
      <c r="M109" s="5"/>
      <c r="N109" s="7" t="str">
        <f aca="true">IF(OR(M109="",Q109&lt;&gt;""),"",M109-TODAY())</f>
        <v/>
      </c>
      <c r="O109" s="8" t="str">
        <f aca="true">IF(A109="","",IF(K109="Denied","Denied",IF(Q109&lt;&gt;"","Closed",IF(L109="","Requested",IF(L109&gt;TODAY(),"Approved, not started",IF(M109&lt;TODAY(),"EXPIRED",IF(M109-TODAY()&lt;=30,"Expiring (30 days or less)","Active")))))))</f>
        <v/>
      </c>
      <c r="P109" s="5"/>
      <c r="Q109" s="5"/>
      <c r="R109" s="6"/>
      <c r="S109" s="6"/>
      <c r="T109" s="8" t="str">
        <f aca="true">IF(AND(P109&lt;&gt;"",Q109="",K109&lt;&gt;"Denied",P109&lt;TODAY()),"Review overdue","")</f>
        <v/>
      </c>
    </row>
    <row r="110" customFormat="false" ht="15" hidden="false" customHeight="false" outlineLevel="0" collapsed="false">
      <c r="A110" s="4"/>
      <c r="B110" s="5"/>
      <c r="C110" s="6"/>
      <c r="D110" s="6"/>
      <c r="E110" s="6"/>
      <c r="F110" s="6"/>
      <c r="G110" s="4"/>
      <c r="H110" s="4"/>
      <c r="I110" s="4"/>
      <c r="J110" s="6"/>
      <c r="K110" s="6"/>
      <c r="L110" s="5"/>
      <c r="M110" s="5"/>
      <c r="N110" s="7" t="str">
        <f aca="true">IF(OR(M110="",Q110&lt;&gt;""),"",M110-TODAY())</f>
        <v/>
      </c>
      <c r="O110" s="8" t="str">
        <f aca="true">IF(A110="","",IF(K110="Denied","Denied",IF(Q110&lt;&gt;"","Closed",IF(L110="","Requested",IF(L110&gt;TODAY(),"Approved, not started",IF(M110&lt;TODAY(),"EXPIRED",IF(M110-TODAY()&lt;=30,"Expiring (30 days or less)","Active")))))))</f>
        <v/>
      </c>
      <c r="P110" s="5"/>
      <c r="Q110" s="5"/>
      <c r="R110" s="6"/>
      <c r="S110" s="6"/>
      <c r="T110" s="8" t="str">
        <f aca="true">IF(AND(P110&lt;&gt;"",Q110="",K110&lt;&gt;"Denied",P110&lt;TODAY()),"Review overdue","")</f>
        <v/>
      </c>
    </row>
    <row r="111" customFormat="false" ht="15" hidden="false" customHeight="false" outlineLevel="0" collapsed="false">
      <c r="A111" s="4"/>
      <c r="B111" s="5"/>
      <c r="C111" s="6"/>
      <c r="D111" s="6"/>
      <c r="E111" s="6"/>
      <c r="F111" s="6"/>
      <c r="G111" s="4"/>
      <c r="H111" s="4"/>
      <c r="I111" s="4"/>
      <c r="J111" s="6"/>
      <c r="K111" s="6"/>
      <c r="L111" s="5"/>
      <c r="M111" s="5"/>
      <c r="N111" s="7" t="str">
        <f aca="true">IF(OR(M111="",Q111&lt;&gt;""),"",M111-TODAY())</f>
        <v/>
      </c>
      <c r="O111" s="8" t="str">
        <f aca="true">IF(A111="","",IF(K111="Denied","Denied",IF(Q111&lt;&gt;"","Closed",IF(L111="","Requested",IF(L111&gt;TODAY(),"Approved, not started",IF(M111&lt;TODAY(),"EXPIRED",IF(M111-TODAY()&lt;=30,"Expiring (30 days or less)","Active")))))))</f>
        <v/>
      </c>
      <c r="P111" s="5"/>
      <c r="Q111" s="5"/>
      <c r="R111" s="6"/>
      <c r="S111" s="6"/>
      <c r="T111" s="8" t="str">
        <f aca="true">IF(AND(P111&lt;&gt;"",Q111="",K111&lt;&gt;"Denied",P111&lt;TODAY()),"Review overdue","")</f>
        <v/>
      </c>
    </row>
    <row r="112" customFormat="false" ht="15" hidden="false" customHeight="false" outlineLevel="0" collapsed="false">
      <c r="A112" s="4"/>
      <c r="B112" s="5"/>
      <c r="C112" s="6"/>
      <c r="D112" s="6"/>
      <c r="E112" s="6"/>
      <c r="F112" s="6"/>
      <c r="G112" s="4"/>
      <c r="H112" s="4"/>
      <c r="I112" s="4"/>
      <c r="J112" s="6"/>
      <c r="K112" s="6"/>
      <c r="L112" s="5"/>
      <c r="M112" s="5"/>
      <c r="N112" s="7" t="str">
        <f aca="true">IF(OR(M112="",Q112&lt;&gt;""),"",M112-TODAY())</f>
        <v/>
      </c>
      <c r="O112" s="8" t="str">
        <f aca="true">IF(A112="","",IF(K112="Denied","Denied",IF(Q112&lt;&gt;"","Closed",IF(L112="","Requested",IF(L112&gt;TODAY(),"Approved, not started",IF(M112&lt;TODAY(),"EXPIRED",IF(M112-TODAY()&lt;=30,"Expiring (30 days or less)","Active")))))))</f>
        <v/>
      </c>
      <c r="P112" s="5"/>
      <c r="Q112" s="5"/>
      <c r="R112" s="6"/>
      <c r="S112" s="6"/>
      <c r="T112" s="8" t="str">
        <f aca="true">IF(AND(P112&lt;&gt;"",Q112="",K112&lt;&gt;"Denied",P112&lt;TODAY()),"Review overdue","")</f>
        <v/>
      </c>
    </row>
    <row r="113" customFormat="false" ht="15" hidden="false" customHeight="false" outlineLevel="0" collapsed="false">
      <c r="A113" s="4"/>
      <c r="B113" s="5"/>
      <c r="C113" s="6"/>
      <c r="D113" s="6"/>
      <c r="E113" s="6"/>
      <c r="F113" s="6"/>
      <c r="G113" s="4"/>
      <c r="H113" s="4"/>
      <c r="I113" s="4"/>
      <c r="J113" s="6"/>
      <c r="K113" s="6"/>
      <c r="L113" s="5"/>
      <c r="M113" s="5"/>
      <c r="N113" s="7" t="str">
        <f aca="true">IF(OR(M113="",Q113&lt;&gt;""),"",M113-TODAY())</f>
        <v/>
      </c>
      <c r="O113" s="8" t="str">
        <f aca="true">IF(A113="","",IF(K113="Denied","Denied",IF(Q113&lt;&gt;"","Closed",IF(L113="","Requested",IF(L113&gt;TODAY(),"Approved, not started",IF(M113&lt;TODAY(),"EXPIRED",IF(M113-TODAY()&lt;=30,"Expiring (30 days or less)","Active")))))))</f>
        <v/>
      </c>
      <c r="P113" s="5"/>
      <c r="Q113" s="5"/>
      <c r="R113" s="6"/>
      <c r="S113" s="6"/>
      <c r="T113" s="8" t="str">
        <f aca="true">IF(AND(P113&lt;&gt;"",Q113="",K113&lt;&gt;"Denied",P113&lt;TODAY()),"Review overdue","")</f>
        <v/>
      </c>
    </row>
    <row r="114" customFormat="false" ht="15" hidden="false" customHeight="false" outlineLevel="0" collapsed="false">
      <c r="A114" s="4"/>
      <c r="B114" s="5"/>
      <c r="C114" s="6"/>
      <c r="D114" s="6"/>
      <c r="E114" s="6"/>
      <c r="F114" s="6"/>
      <c r="G114" s="4"/>
      <c r="H114" s="4"/>
      <c r="I114" s="4"/>
      <c r="J114" s="6"/>
      <c r="K114" s="6"/>
      <c r="L114" s="5"/>
      <c r="M114" s="5"/>
      <c r="N114" s="7" t="str">
        <f aca="true">IF(OR(M114="",Q114&lt;&gt;""),"",M114-TODAY())</f>
        <v/>
      </c>
      <c r="O114" s="8" t="str">
        <f aca="true">IF(A114="","",IF(K114="Denied","Denied",IF(Q114&lt;&gt;"","Closed",IF(L114="","Requested",IF(L114&gt;TODAY(),"Approved, not started",IF(M114&lt;TODAY(),"EXPIRED",IF(M114-TODAY()&lt;=30,"Expiring (30 days or less)","Active")))))))</f>
        <v/>
      </c>
      <c r="P114" s="5"/>
      <c r="Q114" s="5"/>
      <c r="R114" s="6"/>
      <c r="S114" s="6"/>
      <c r="T114" s="8" t="str">
        <f aca="true">IF(AND(P114&lt;&gt;"",Q114="",K114&lt;&gt;"Denied",P114&lt;TODAY()),"Review overdue","")</f>
        <v/>
      </c>
    </row>
    <row r="115" customFormat="false" ht="15" hidden="false" customHeight="false" outlineLevel="0" collapsed="false">
      <c r="A115" s="4"/>
      <c r="B115" s="5"/>
      <c r="C115" s="6"/>
      <c r="D115" s="6"/>
      <c r="E115" s="6"/>
      <c r="F115" s="6"/>
      <c r="G115" s="4"/>
      <c r="H115" s="4"/>
      <c r="I115" s="4"/>
      <c r="J115" s="6"/>
      <c r="K115" s="6"/>
      <c r="L115" s="5"/>
      <c r="M115" s="5"/>
      <c r="N115" s="7" t="str">
        <f aca="true">IF(OR(M115="",Q115&lt;&gt;""),"",M115-TODAY())</f>
        <v/>
      </c>
      <c r="O115" s="8" t="str">
        <f aca="true">IF(A115="","",IF(K115="Denied","Denied",IF(Q115&lt;&gt;"","Closed",IF(L115="","Requested",IF(L115&gt;TODAY(),"Approved, not started",IF(M115&lt;TODAY(),"EXPIRED",IF(M115-TODAY()&lt;=30,"Expiring (30 days or less)","Active")))))))</f>
        <v/>
      </c>
      <c r="P115" s="5"/>
      <c r="Q115" s="5"/>
      <c r="R115" s="6"/>
      <c r="S115" s="6"/>
      <c r="T115" s="8" t="str">
        <f aca="true">IF(AND(P115&lt;&gt;"",Q115="",K115&lt;&gt;"Denied",P115&lt;TODAY()),"Review overdue","")</f>
        <v/>
      </c>
    </row>
    <row r="116" customFormat="false" ht="15" hidden="false" customHeight="false" outlineLevel="0" collapsed="false">
      <c r="A116" s="4"/>
      <c r="B116" s="5"/>
      <c r="C116" s="6"/>
      <c r="D116" s="6"/>
      <c r="E116" s="6"/>
      <c r="F116" s="6"/>
      <c r="G116" s="4"/>
      <c r="H116" s="4"/>
      <c r="I116" s="4"/>
      <c r="J116" s="6"/>
      <c r="K116" s="6"/>
      <c r="L116" s="5"/>
      <c r="M116" s="5"/>
      <c r="N116" s="7" t="str">
        <f aca="true">IF(OR(M116="",Q116&lt;&gt;""),"",M116-TODAY())</f>
        <v/>
      </c>
      <c r="O116" s="8" t="str">
        <f aca="true">IF(A116="","",IF(K116="Denied","Denied",IF(Q116&lt;&gt;"","Closed",IF(L116="","Requested",IF(L116&gt;TODAY(),"Approved, not started",IF(M116&lt;TODAY(),"EXPIRED",IF(M116-TODAY()&lt;=30,"Expiring (30 days or less)","Active")))))))</f>
        <v/>
      </c>
      <c r="P116" s="5"/>
      <c r="Q116" s="5"/>
      <c r="R116" s="6"/>
      <c r="S116" s="6"/>
      <c r="T116" s="8" t="str">
        <f aca="true">IF(AND(P116&lt;&gt;"",Q116="",K116&lt;&gt;"Denied",P116&lt;TODAY()),"Review overdue","")</f>
        <v/>
      </c>
    </row>
    <row r="117" customFormat="false" ht="15" hidden="false" customHeight="false" outlineLevel="0" collapsed="false">
      <c r="A117" s="4"/>
      <c r="B117" s="5"/>
      <c r="C117" s="6"/>
      <c r="D117" s="6"/>
      <c r="E117" s="6"/>
      <c r="F117" s="6"/>
      <c r="G117" s="4"/>
      <c r="H117" s="4"/>
      <c r="I117" s="4"/>
      <c r="J117" s="6"/>
      <c r="K117" s="6"/>
      <c r="L117" s="5"/>
      <c r="M117" s="5"/>
      <c r="N117" s="7" t="str">
        <f aca="true">IF(OR(M117="",Q117&lt;&gt;""),"",M117-TODAY())</f>
        <v/>
      </c>
      <c r="O117" s="8" t="str">
        <f aca="true">IF(A117="","",IF(K117="Denied","Denied",IF(Q117&lt;&gt;"","Closed",IF(L117="","Requested",IF(L117&gt;TODAY(),"Approved, not started",IF(M117&lt;TODAY(),"EXPIRED",IF(M117-TODAY()&lt;=30,"Expiring (30 days or less)","Active")))))))</f>
        <v/>
      </c>
      <c r="P117" s="5"/>
      <c r="Q117" s="5"/>
      <c r="R117" s="6"/>
      <c r="S117" s="6"/>
      <c r="T117" s="8" t="str">
        <f aca="true">IF(AND(P117&lt;&gt;"",Q117="",K117&lt;&gt;"Denied",P117&lt;TODAY()),"Review overdue","")</f>
        <v/>
      </c>
    </row>
    <row r="118" customFormat="false" ht="15" hidden="false" customHeight="false" outlineLevel="0" collapsed="false">
      <c r="A118" s="4"/>
      <c r="B118" s="5"/>
      <c r="C118" s="6"/>
      <c r="D118" s="6"/>
      <c r="E118" s="6"/>
      <c r="F118" s="6"/>
      <c r="G118" s="4"/>
      <c r="H118" s="4"/>
      <c r="I118" s="4"/>
      <c r="J118" s="6"/>
      <c r="K118" s="6"/>
      <c r="L118" s="5"/>
      <c r="M118" s="5"/>
      <c r="N118" s="7" t="str">
        <f aca="true">IF(OR(M118="",Q118&lt;&gt;""),"",M118-TODAY())</f>
        <v/>
      </c>
      <c r="O118" s="8" t="str">
        <f aca="true">IF(A118="","",IF(K118="Denied","Denied",IF(Q118&lt;&gt;"","Closed",IF(L118="","Requested",IF(L118&gt;TODAY(),"Approved, not started",IF(M118&lt;TODAY(),"EXPIRED",IF(M118-TODAY()&lt;=30,"Expiring (30 days or less)","Active")))))))</f>
        <v/>
      </c>
      <c r="P118" s="5"/>
      <c r="Q118" s="5"/>
      <c r="R118" s="6"/>
      <c r="S118" s="6"/>
      <c r="T118" s="8" t="str">
        <f aca="true">IF(AND(P118&lt;&gt;"",Q118="",K118&lt;&gt;"Denied",P118&lt;TODAY()),"Review overdue","")</f>
        <v/>
      </c>
    </row>
    <row r="119" customFormat="false" ht="15" hidden="false" customHeight="false" outlineLevel="0" collapsed="false">
      <c r="A119" s="4"/>
      <c r="B119" s="5"/>
      <c r="C119" s="6"/>
      <c r="D119" s="6"/>
      <c r="E119" s="6"/>
      <c r="F119" s="6"/>
      <c r="G119" s="4"/>
      <c r="H119" s="4"/>
      <c r="I119" s="4"/>
      <c r="J119" s="6"/>
      <c r="K119" s="6"/>
      <c r="L119" s="5"/>
      <c r="M119" s="5"/>
      <c r="N119" s="7" t="str">
        <f aca="true">IF(OR(M119="",Q119&lt;&gt;""),"",M119-TODAY())</f>
        <v/>
      </c>
      <c r="O119" s="8" t="str">
        <f aca="true">IF(A119="","",IF(K119="Denied","Denied",IF(Q119&lt;&gt;"","Closed",IF(L119="","Requested",IF(L119&gt;TODAY(),"Approved, not started",IF(M119&lt;TODAY(),"EXPIRED",IF(M119-TODAY()&lt;=30,"Expiring (30 days or less)","Active")))))))</f>
        <v/>
      </c>
      <c r="P119" s="5"/>
      <c r="Q119" s="5"/>
      <c r="R119" s="6"/>
      <c r="S119" s="6"/>
      <c r="T119" s="8" t="str">
        <f aca="true">IF(AND(P119&lt;&gt;"",Q119="",K119&lt;&gt;"Denied",P119&lt;TODAY()),"Review overdue","")</f>
        <v/>
      </c>
    </row>
    <row r="120" customFormat="false" ht="15" hidden="false" customHeight="false" outlineLevel="0" collapsed="false">
      <c r="A120" s="4"/>
      <c r="B120" s="5"/>
      <c r="C120" s="6"/>
      <c r="D120" s="6"/>
      <c r="E120" s="6"/>
      <c r="F120" s="6"/>
      <c r="G120" s="4"/>
      <c r="H120" s="4"/>
      <c r="I120" s="4"/>
      <c r="J120" s="6"/>
      <c r="K120" s="6"/>
      <c r="L120" s="5"/>
      <c r="M120" s="5"/>
      <c r="N120" s="7" t="str">
        <f aca="true">IF(OR(M120="",Q120&lt;&gt;""),"",M120-TODAY())</f>
        <v/>
      </c>
      <c r="O120" s="8" t="str">
        <f aca="true">IF(A120="","",IF(K120="Denied","Denied",IF(Q120&lt;&gt;"","Closed",IF(L120="","Requested",IF(L120&gt;TODAY(),"Approved, not started",IF(M120&lt;TODAY(),"EXPIRED",IF(M120-TODAY()&lt;=30,"Expiring (30 days or less)","Active")))))))</f>
        <v/>
      </c>
      <c r="P120" s="5"/>
      <c r="Q120" s="5"/>
      <c r="R120" s="6"/>
      <c r="S120" s="6"/>
      <c r="T120" s="8" t="str">
        <f aca="true">IF(AND(P120&lt;&gt;"",Q120="",K120&lt;&gt;"Denied",P120&lt;TODAY()),"Review overdue","")</f>
        <v/>
      </c>
    </row>
    <row r="121" customFormat="false" ht="15" hidden="false" customHeight="false" outlineLevel="0" collapsed="false">
      <c r="A121" s="4"/>
      <c r="B121" s="5"/>
      <c r="C121" s="6"/>
      <c r="D121" s="6"/>
      <c r="E121" s="6"/>
      <c r="F121" s="6"/>
      <c r="G121" s="4"/>
      <c r="H121" s="4"/>
      <c r="I121" s="4"/>
      <c r="J121" s="6"/>
      <c r="K121" s="6"/>
      <c r="L121" s="5"/>
      <c r="M121" s="5"/>
      <c r="N121" s="7" t="str">
        <f aca="true">IF(OR(M121="",Q121&lt;&gt;""),"",M121-TODAY())</f>
        <v/>
      </c>
      <c r="O121" s="8" t="str">
        <f aca="true">IF(A121="","",IF(K121="Denied","Denied",IF(Q121&lt;&gt;"","Closed",IF(L121="","Requested",IF(L121&gt;TODAY(),"Approved, not started",IF(M121&lt;TODAY(),"EXPIRED",IF(M121-TODAY()&lt;=30,"Expiring (30 days or less)","Active")))))))</f>
        <v/>
      </c>
      <c r="P121" s="5"/>
      <c r="Q121" s="5"/>
      <c r="R121" s="6"/>
      <c r="S121" s="6"/>
      <c r="T121" s="8" t="str">
        <f aca="true">IF(AND(P121&lt;&gt;"",Q121="",K121&lt;&gt;"Denied",P121&lt;TODAY()),"Review overdue","")</f>
        <v/>
      </c>
    </row>
    <row r="122" customFormat="false" ht="15" hidden="false" customHeight="false" outlineLevel="0" collapsed="false">
      <c r="A122" s="4"/>
      <c r="B122" s="5"/>
      <c r="C122" s="6"/>
      <c r="D122" s="6"/>
      <c r="E122" s="6"/>
      <c r="F122" s="6"/>
      <c r="G122" s="4"/>
      <c r="H122" s="4"/>
      <c r="I122" s="4"/>
      <c r="J122" s="6"/>
      <c r="K122" s="6"/>
      <c r="L122" s="5"/>
      <c r="M122" s="5"/>
      <c r="N122" s="7" t="str">
        <f aca="true">IF(OR(M122="",Q122&lt;&gt;""),"",M122-TODAY())</f>
        <v/>
      </c>
      <c r="O122" s="8" t="str">
        <f aca="true">IF(A122="","",IF(K122="Denied","Denied",IF(Q122&lt;&gt;"","Closed",IF(L122="","Requested",IF(L122&gt;TODAY(),"Approved, not started",IF(M122&lt;TODAY(),"EXPIRED",IF(M122-TODAY()&lt;=30,"Expiring (30 days or less)","Active")))))))</f>
        <v/>
      </c>
      <c r="P122" s="5"/>
      <c r="Q122" s="5"/>
      <c r="R122" s="6"/>
      <c r="S122" s="6"/>
      <c r="T122" s="8" t="str">
        <f aca="true">IF(AND(P122&lt;&gt;"",Q122="",K122&lt;&gt;"Denied",P122&lt;TODAY()),"Review overdue","")</f>
        <v/>
      </c>
    </row>
    <row r="123" customFormat="false" ht="15" hidden="false" customHeight="false" outlineLevel="0" collapsed="false">
      <c r="A123" s="4"/>
      <c r="B123" s="5"/>
      <c r="C123" s="6"/>
      <c r="D123" s="6"/>
      <c r="E123" s="6"/>
      <c r="F123" s="6"/>
      <c r="G123" s="4"/>
      <c r="H123" s="4"/>
      <c r="I123" s="4"/>
      <c r="J123" s="6"/>
      <c r="K123" s="6"/>
      <c r="L123" s="5"/>
      <c r="M123" s="5"/>
      <c r="N123" s="7" t="str">
        <f aca="true">IF(OR(M123="",Q123&lt;&gt;""),"",M123-TODAY())</f>
        <v/>
      </c>
      <c r="O123" s="8" t="str">
        <f aca="true">IF(A123="","",IF(K123="Denied","Denied",IF(Q123&lt;&gt;"","Closed",IF(L123="","Requested",IF(L123&gt;TODAY(),"Approved, not started",IF(M123&lt;TODAY(),"EXPIRED",IF(M123-TODAY()&lt;=30,"Expiring (30 days or less)","Active")))))))</f>
        <v/>
      </c>
      <c r="P123" s="5"/>
      <c r="Q123" s="5"/>
      <c r="R123" s="6"/>
      <c r="S123" s="6"/>
      <c r="T123" s="8" t="str">
        <f aca="true">IF(AND(P123&lt;&gt;"",Q123="",K123&lt;&gt;"Denied",P123&lt;TODAY()),"Review overdue","")</f>
        <v/>
      </c>
    </row>
    <row r="124" customFormat="false" ht="15" hidden="false" customHeight="false" outlineLevel="0" collapsed="false">
      <c r="A124" s="4"/>
      <c r="B124" s="5"/>
      <c r="C124" s="6"/>
      <c r="D124" s="6"/>
      <c r="E124" s="6"/>
      <c r="F124" s="6"/>
      <c r="G124" s="4"/>
      <c r="H124" s="4"/>
      <c r="I124" s="4"/>
      <c r="J124" s="6"/>
      <c r="K124" s="6"/>
      <c r="L124" s="5"/>
      <c r="M124" s="5"/>
      <c r="N124" s="7" t="str">
        <f aca="true">IF(OR(M124="",Q124&lt;&gt;""),"",M124-TODAY())</f>
        <v/>
      </c>
      <c r="O124" s="8" t="str">
        <f aca="true">IF(A124="","",IF(K124="Denied","Denied",IF(Q124&lt;&gt;"","Closed",IF(L124="","Requested",IF(L124&gt;TODAY(),"Approved, not started",IF(M124&lt;TODAY(),"EXPIRED",IF(M124-TODAY()&lt;=30,"Expiring (30 days or less)","Active")))))))</f>
        <v/>
      </c>
      <c r="P124" s="5"/>
      <c r="Q124" s="5"/>
      <c r="R124" s="6"/>
      <c r="S124" s="6"/>
      <c r="T124" s="8" t="str">
        <f aca="true">IF(AND(P124&lt;&gt;"",Q124="",K124&lt;&gt;"Denied",P124&lt;TODAY()),"Review overdue","")</f>
        <v/>
      </c>
    </row>
    <row r="125" customFormat="false" ht="15" hidden="false" customHeight="false" outlineLevel="0" collapsed="false">
      <c r="A125" s="4"/>
      <c r="B125" s="5"/>
      <c r="C125" s="6"/>
      <c r="D125" s="6"/>
      <c r="E125" s="6"/>
      <c r="F125" s="6"/>
      <c r="G125" s="4"/>
      <c r="H125" s="4"/>
      <c r="I125" s="4"/>
      <c r="J125" s="6"/>
      <c r="K125" s="6"/>
      <c r="L125" s="5"/>
      <c r="M125" s="5"/>
      <c r="N125" s="7" t="str">
        <f aca="true">IF(OR(M125="",Q125&lt;&gt;""),"",M125-TODAY())</f>
        <v/>
      </c>
      <c r="O125" s="8" t="str">
        <f aca="true">IF(A125="","",IF(K125="Denied","Denied",IF(Q125&lt;&gt;"","Closed",IF(L125="","Requested",IF(L125&gt;TODAY(),"Approved, not started",IF(M125&lt;TODAY(),"EXPIRED",IF(M125-TODAY()&lt;=30,"Expiring (30 days or less)","Active")))))))</f>
        <v/>
      </c>
      <c r="P125" s="5"/>
      <c r="Q125" s="5"/>
      <c r="R125" s="6"/>
      <c r="S125" s="6"/>
      <c r="T125" s="8" t="str">
        <f aca="true">IF(AND(P125&lt;&gt;"",Q125="",K125&lt;&gt;"Denied",P125&lt;TODAY()),"Review overdue","")</f>
        <v/>
      </c>
    </row>
    <row r="126" customFormat="false" ht="15" hidden="false" customHeight="false" outlineLevel="0" collapsed="false">
      <c r="A126" s="4"/>
      <c r="B126" s="5"/>
      <c r="C126" s="6"/>
      <c r="D126" s="6"/>
      <c r="E126" s="6"/>
      <c r="F126" s="6"/>
      <c r="G126" s="4"/>
      <c r="H126" s="4"/>
      <c r="I126" s="4"/>
      <c r="J126" s="6"/>
      <c r="K126" s="6"/>
      <c r="L126" s="5"/>
      <c r="M126" s="5"/>
      <c r="N126" s="7" t="str">
        <f aca="true">IF(OR(M126="",Q126&lt;&gt;""),"",M126-TODAY())</f>
        <v/>
      </c>
      <c r="O126" s="8" t="str">
        <f aca="true">IF(A126="","",IF(K126="Denied","Denied",IF(Q126&lt;&gt;"","Closed",IF(L126="","Requested",IF(L126&gt;TODAY(),"Approved, not started",IF(M126&lt;TODAY(),"EXPIRED",IF(M126-TODAY()&lt;=30,"Expiring (30 days or less)","Active")))))))</f>
        <v/>
      </c>
      <c r="P126" s="5"/>
      <c r="Q126" s="5"/>
      <c r="R126" s="6"/>
      <c r="S126" s="6"/>
      <c r="T126" s="8" t="str">
        <f aca="true">IF(AND(P126&lt;&gt;"",Q126="",K126&lt;&gt;"Denied",P126&lt;TODAY()),"Review overdue","")</f>
        <v/>
      </c>
    </row>
    <row r="127" customFormat="false" ht="15" hidden="false" customHeight="false" outlineLevel="0" collapsed="false">
      <c r="A127" s="4"/>
      <c r="B127" s="5"/>
      <c r="C127" s="6"/>
      <c r="D127" s="6"/>
      <c r="E127" s="6"/>
      <c r="F127" s="6"/>
      <c r="G127" s="4"/>
      <c r="H127" s="4"/>
      <c r="I127" s="4"/>
      <c r="J127" s="6"/>
      <c r="K127" s="6"/>
      <c r="L127" s="5"/>
      <c r="M127" s="5"/>
      <c r="N127" s="7" t="str">
        <f aca="true">IF(OR(M127="",Q127&lt;&gt;""),"",M127-TODAY())</f>
        <v/>
      </c>
      <c r="O127" s="8" t="str">
        <f aca="true">IF(A127="","",IF(K127="Denied","Denied",IF(Q127&lt;&gt;"","Closed",IF(L127="","Requested",IF(L127&gt;TODAY(),"Approved, not started",IF(M127&lt;TODAY(),"EXPIRED",IF(M127-TODAY()&lt;=30,"Expiring (30 days or less)","Active")))))))</f>
        <v/>
      </c>
      <c r="P127" s="5"/>
      <c r="Q127" s="5"/>
      <c r="R127" s="6"/>
      <c r="S127" s="6"/>
      <c r="T127" s="8" t="str">
        <f aca="true">IF(AND(P127&lt;&gt;"",Q127="",K127&lt;&gt;"Denied",P127&lt;TODAY()),"Review overdue","")</f>
        <v/>
      </c>
    </row>
    <row r="128" customFormat="false" ht="15" hidden="false" customHeight="false" outlineLevel="0" collapsed="false">
      <c r="A128" s="4"/>
      <c r="B128" s="5"/>
      <c r="C128" s="6"/>
      <c r="D128" s="6"/>
      <c r="E128" s="6"/>
      <c r="F128" s="6"/>
      <c r="G128" s="4"/>
      <c r="H128" s="4"/>
      <c r="I128" s="4"/>
      <c r="J128" s="6"/>
      <c r="K128" s="6"/>
      <c r="L128" s="5"/>
      <c r="M128" s="5"/>
      <c r="N128" s="7" t="str">
        <f aca="true">IF(OR(M128="",Q128&lt;&gt;""),"",M128-TODAY())</f>
        <v/>
      </c>
      <c r="O128" s="8" t="str">
        <f aca="true">IF(A128="","",IF(K128="Denied","Denied",IF(Q128&lt;&gt;"","Closed",IF(L128="","Requested",IF(L128&gt;TODAY(),"Approved, not started",IF(M128&lt;TODAY(),"EXPIRED",IF(M128-TODAY()&lt;=30,"Expiring (30 days or less)","Active")))))))</f>
        <v/>
      </c>
      <c r="P128" s="5"/>
      <c r="Q128" s="5"/>
      <c r="R128" s="6"/>
      <c r="S128" s="6"/>
      <c r="T128" s="8" t="str">
        <f aca="true">IF(AND(P128&lt;&gt;"",Q128="",K128&lt;&gt;"Denied",P128&lt;TODAY()),"Review overdue","")</f>
        <v/>
      </c>
    </row>
    <row r="129" customFormat="false" ht="15" hidden="false" customHeight="false" outlineLevel="0" collapsed="false">
      <c r="A129" s="4"/>
      <c r="B129" s="5"/>
      <c r="C129" s="6"/>
      <c r="D129" s="6"/>
      <c r="E129" s="6"/>
      <c r="F129" s="6"/>
      <c r="G129" s="4"/>
      <c r="H129" s="4"/>
      <c r="I129" s="4"/>
      <c r="J129" s="6"/>
      <c r="K129" s="6"/>
      <c r="L129" s="5"/>
      <c r="M129" s="5"/>
      <c r="N129" s="7" t="str">
        <f aca="true">IF(OR(M129="",Q129&lt;&gt;""),"",M129-TODAY())</f>
        <v/>
      </c>
      <c r="O129" s="8" t="str">
        <f aca="true">IF(A129="","",IF(K129="Denied","Denied",IF(Q129&lt;&gt;"","Closed",IF(L129="","Requested",IF(L129&gt;TODAY(),"Approved, not started",IF(M129&lt;TODAY(),"EXPIRED",IF(M129-TODAY()&lt;=30,"Expiring (30 days or less)","Active")))))))</f>
        <v/>
      </c>
      <c r="P129" s="5"/>
      <c r="Q129" s="5"/>
      <c r="R129" s="6"/>
      <c r="S129" s="6"/>
      <c r="T129" s="8" t="str">
        <f aca="true">IF(AND(P129&lt;&gt;"",Q129="",K129&lt;&gt;"Denied",P129&lt;TODAY()),"Review overdue","")</f>
        <v/>
      </c>
    </row>
    <row r="130" customFormat="false" ht="15" hidden="false" customHeight="false" outlineLevel="0" collapsed="false">
      <c r="A130" s="4"/>
      <c r="B130" s="5"/>
      <c r="C130" s="6"/>
      <c r="D130" s="6"/>
      <c r="E130" s="6"/>
      <c r="F130" s="6"/>
      <c r="G130" s="4"/>
      <c r="H130" s="4"/>
      <c r="I130" s="4"/>
      <c r="J130" s="6"/>
      <c r="K130" s="6"/>
      <c r="L130" s="5"/>
      <c r="M130" s="5"/>
      <c r="N130" s="7" t="str">
        <f aca="true">IF(OR(M130="",Q130&lt;&gt;""),"",M130-TODAY())</f>
        <v/>
      </c>
      <c r="O130" s="8" t="str">
        <f aca="true">IF(A130="","",IF(K130="Denied","Denied",IF(Q130&lt;&gt;"","Closed",IF(L130="","Requested",IF(L130&gt;TODAY(),"Approved, not started",IF(M130&lt;TODAY(),"EXPIRED",IF(M130-TODAY()&lt;=30,"Expiring (30 days or less)","Active")))))))</f>
        <v/>
      </c>
      <c r="P130" s="5"/>
      <c r="Q130" s="5"/>
      <c r="R130" s="6"/>
      <c r="S130" s="6"/>
      <c r="T130" s="8" t="str">
        <f aca="true">IF(AND(P130&lt;&gt;"",Q130="",K130&lt;&gt;"Denied",P130&lt;TODAY()),"Review overdue","")</f>
        <v/>
      </c>
    </row>
    <row r="131" customFormat="false" ht="15" hidden="false" customHeight="false" outlineLevel="0" collapsed="false">
      <c r="A131" s="4"/>
      <c r="B131" s="5"/>
      <c r="C131" s="6"/>
      <c r="D131" s="6"/>
      <c r="E131" s="6"/>
      <c r="F131" s="6"/>
      <c r="G131" s="4"/>
      <c r="H131" s="4"/>
      <c r="I131" s="4"/>
      <c r="J131" s="6"/>
      <c r="K131" s="6"/>
      <c r="L131" s="5"/>
      <c r="M131" s="5"/>
      <c r="N131" s="7" t="str">
        <f aca="true">IF(OR(M131="",Q131&lt;&gt;""),"",M131-TODAY())</f>
        <v/>
      </c>
      <c r="O131" s="8" t="str">
        <f aca="true">IF(A131="","",IF(K131="Denied","Denied",IF(Q131&lt;&gt;"","Closed",IF(L131="","Requested",IF(L131&gt;TODAY(),"Approved, not started",IF(M131&lt;TODAY(),"EXPIRED",IF(M131-TODAY()&lt;=30,"Expiring (30 days or less)","Active")))))))</f>
        <v/>
      </c>
      <c r="P131" s="5"/>
      <c r="Q131" s="5"/>
      <c r="R131" s="6"/>
      <c r="S131" s="6"/>
      <c r="T131" s="8" t="str">
        <f aca="true">IF(AND(P131&lt;&gt;"",Q131="",K131&lt;&gt;"Denied",P131&lt;TODAY()),"Review overdue","")</f>
        <v/>
      </c>
    </row>
    <row r="132" customFormat="false" ht="15" hidden="false" customHeight="false" outlineLevel="0" collapsed="false">
      <c r="A132" s="4"/>
      <c r="B132" s="5"/>
      <c r="C132" s="6"/>
      <c r="D132" s="6"/>
      <c r="E132" s="6"/>
      <c r="F132" s="6"/>
      <c r="G132" s="4"/>
      <c r="H132" s="4"/>
      <c r="I132" s="4"/>
      <c r="J132" s="6"/>
      <c r="K132" s="6"/>
      <c r="L132" s="5"/>
      <c r="M132" s="5"/>
      <c r="N132" s="7" t="str">
        <f aca="true">IF(OR(M132="",Q132&lt;&gt;""),"",M132-TODAY())</f>
        <v/>
      </c>
      <c r="O132" s="8" t="str">
        <f aca="true">IF(A132="","",IF(K132="Denied","Denied",IF(Q132&lt;&gt;"","Closed",IF(L132="","Requested",IF(L132&gt;TODAY(),"Approved, not started",IF(M132&lt;TODAY(),"EXPIRED",IF(M132-TODAY()&lt;=30,"Expiring (30 days or less)","Active")))))))</f>
        <v/>
      </c>
      <c r="P132" s="5"/>
      <c r="Q132" s="5"/>
      <c r="R132" s="6"/>
      <c r="S132" s="6"/>
      <c r="T132" s="8" t="str">
        <f aca="true">IF(AND(P132&lt;&gt;"",Q132="",K132&lt;&gt;"Denied",P132&lt;TODAY()),"Review overdue","")</f>
        <v/>
      </c>
    </row>
    <row r="133" customFormat="false" ht="15" hidden="false" customHeight="false" outlineLevel="0" collapsed="false">
      <c r="A133" s="4"/>
      <c r="B133" s="5"/>
      <c r="C133" s="6"/>
      <c r="D133" s="6"/>
      <c r="E133" s="6"/>
      <c r="F133" s="6"/>
      <c r="G133" s="4"/>
      <c r="H133" s="4"/>
      <c r="I133" s="4"/>
      <c r="J133" s="6"/>
      <c r="K133" s="6"/>
      <c r="L133" s="5"/>
      <c r="M133" s="5"/>
      <c r="N133" s="7" t="str">
        <f aca="true">IF(OR(M133="",Q133&lt;&gt;""),"",M133-TODAY())</f>
        <v/>
      </c>
      <c r="O133" s="8" t="str">
        <f aca="true">IF(A133="","",IF(K133="Denied","Denied",IF(Q133&lt;&gt;"","Closed",IF(L133="","Requested",IF(L133&gt;TODAY(),"Approved, not started",IF(M133&lt;TODAY(),"EXPIRED",IF(M133-TODAY()&lt;=30,"Expiring (30 days or less)","Active")))))))</f>
        <v/>
      </c>
      <c r="P133" s="5"/>
      <c r="Q133" s="5"/>
      <c r="R133" s="6"/>
      <c r="S133" s="6"/>
      <c r="T133" s="8" t="str">
        <f aca="true">IF(AND(P133&lt;&gt;"",Q133="",K133&lt;&gt;"Denied",P133&lt;TODAY()),"Review overdue","")</f>
        <v/>
      </c>
    </row>
    <row r="134" customFormat="false" ht="15" hidden="false" customHeight="false" outlineLevel="0" collapsed="false">
      <c r="A134" s="4"/>
      <c r="B134" s="5"/>
      <c r="C134" s="6"/>
      <c r="D134" s="6"/>
      <c r="E134" s="6"/>
      <c r="F134" s="6"/>
      <c r="G134" s="4"/>
      <c r="H134" s="4"/>
      <c r="I134" s="4"/>
      <c r="J134" s="6"/>
      <c r="K134" s="6"/>
      <c r="L134" s="5"/>
      <c r="M134" s="5"/>
      <c r="N134" s="7" t="str">
        <f aca="true">IF(OR(M134="",Q134&lt;&gt;""),"",M134-TODAY())</f>
        <v/>
      </c>
      <c r="O134" s="8" t="str">
        <f aca="true">IF(A134="","",IF(K134="Denied","Denied",IF(Q134&lt;&gt;"","Closed",IF(L134="","Requested",IF(L134&gt;TODAY(),"Approved, not started",IF(M134&lt;TODAY(),"EXPIRED",IF(M134-TODAY()&lt;=30,"Expiring (30 days or less)","Active")))))))</f>
        <v/>
      </c>
      <c r="P134" s="5"/>
      <c r="Q134" s="5"/>
      <c r="R134" s="6"/>
      <c r="S134" s="6"/>
      <c r="T134" s="8" t="str">
        <f aca="true">IF(AND(P134&lt;&gt;"",Q134="",K134&lt;&gt;"Denied",P134&lt;TODAY()),"Review overdue","")</f>
        <v/>
      </c>
    </row>
    <row r="135" customFormat="false" ht="15" hidden="false" customHeight="false" outlineLevel="0" collapsed="false">
      <c r="A135" s="4"/>
      <c r="B135" s="5"/>
      <c r="C135" s="6"/>
      <c r="D135" s="6"/>
      <c r="E135" s="6"/>
      <c r="F135" s="6"/>
      <c r="G135" s="4"/>
      <c r="H135" s="4"/>
      <c r="I135" s="4"/>
      <c r="J135" s="6"/>
      <c r="K135" s="6"/>
      <c r="L135" s="5"/>
      <c r="M135" s="5"/>
      <c r="N135" s="7" t="str">
        <f aca="true">IF(OR(M135="",Q135&lt;&gt;""),"",M135-TODAY())</f>
        <v/>
      </c>
      <c r="O135" s="8" t="str">
        <f aca="true">IF(A135="","",IF(K135="Denied","Denied",IF(Q135&lt;&gt;"","Closed",IF(L135="","Requested",IF(L135&gt;TODAY(),"Approved, not started",IF(M135&lt;TODAY(),"EXPIRED",IF(M135-TODAY()&lt;=30,"Expiring (30 days or less)","Active")))))))</f>
        <v/>
      </c>
      <c r="P135" s="5"/>
      <c r="Q135" s="5"/>
      <c r="R135" s="6"/>
      <c r="S135" s="6"/>
      <c r="T135" s="8" t="str">
        <f aca="true">IF(AND(P135&lt;&gt;"",Q135="",K135&lt;&gt;"Denied",P135&lt;TODAY()),"Review overdue","")</f>
        <v/>
      </c>
    </row>
    <row r="136" customFormat="false" ht="15" hidden="false" customHeight="false" outlineLevel="0" collapsed="false">
      <c r="A136" s="4"/>
      <c r="B136" s="5"/>
      <c r="C136" s="6"/>
      <c r="D136" s="6"/>
      <c r="E136" s="6"/>
      <c r="F136" s="6"/>
      <c r="G136" s="4"/>
      <c r="H136" s="4"/>
      <c r="I136" s="4"/>
      <c r="J136" s="6"/>
      <c r="K136" s="6"/>
      <c r="L136" s="5"/>
      <c r="M136" s="5"/>
      <c r="N136" s="7" t="str">
        <f aca="true">IF(OR(M136="",Q136&lt;&gt;""),"",M136-TODAY())</f>
        <v/>
      </c>
      <c r="O136" s="8" t="str">
        <f aca="true">IF(A136="","",IF(K136="Denied","Denied",IF(Q136&lt;&gt;"","Closed",IF(L136="","Requested",IF(L136&gt;TODAY(),"Approved, not started",IF(M136&lt;TODAY(),"EXPIRED",IF(M136-TODAY()&lt;=30,"Expiring (30 days or less)","Active")))))))</f>
        <v/>
      </c>
      <c r="P136" s="5"/>
      <c r="Q136" s="5"/>
      <c r="R136" s="6"/>
      <c r="S136" s="6"/>
      <c r="T136" s="8" t="str">
        <f aca="true">IF(AND(P136&lt;&gt;"",Q136="",K136&lt;&gt;"Denied",P136&lt;TODAY()),"Review overdue","")</f>
        <v/>
      </c>
    </row>
    <row r="137" customFormat="false" ht="15" hidden="false" customHeight="false" outlineLevel="0" collapsed="false">
      <c r="A137" s="4"/>
      <c r="B137" s="5"/>
      <c r="C137" s="6"/>
      <c r="D137" s="6"/>
      <c r="E137" s="6"/>
      <c r="F137" s="6"/>
      <c r="G137" s="4"/>
      <c r="H137" s="4"/>
      <c r="I137" s="4"/>
      <c r="J137" s="6"/>
      <c r="K137" s="6"/>
      <c r="L137" s="5"/>
      <c r="M137" s="5"/>
      <c r="N137" s="7" t="str">
        <f aca="true">IF(OR(M137="",Q137&lt;&gt;""),"",M137-TODAY())</f>
        <v/>
      </c>
      <c r="O137" s="8" t="str">
        <f aca="true">IF(A137="","",IF(K137="Denied","Denied",IF(Q137&lt;&gt;"","Closed",IF(L137="","Requested",IF(L137&gt;TODAY(),"Approved, not started",IF(M137&lt;TODAY(),"EXPIRED",IF(M137-TODAY()&lt;=30,"Expiring (30 days or less)","Active")))))))</f>
        <v/>
      </c>
      <c r="P137" s="5"/>
      <c r="Q137" s="5"/>
      <c r="R137" s="6"/>
      <c r="S137" s="6"/>
      <c r="T137" s="8" t="str">
        <f aca="true">IF(AND(P137&lt;&gt;"",Q137="",K137&lt;&gt;"Denied",P137&lt;TODAY()),"Review overdue","")</f>
        <v/>
      </c>
    </row>
    <row r="138" customFormat="false" ht="15" hidden="false" customHeight="false" outlineLevel="0" collapsed="false">
      <c r="A138" s="4"/>
      <c r="B138" s="5"/>
      <c r="C138" s="6"/>
      <c r="D138" s="6"/>
      <c r="E138" s="6"/>
      <c r="F138" s="6"/>
      <c r="G138" s="4"/>
      <c r="H138" s="4"/>
      <c r="I138" s="4"/>
      <c r="J138" s="6"/>
      <c r="K138" s="6"/>
      <c r="L138" s="5"/>
      <c r="M138" s="5"/>
      <c r="N138" s="7" t="str">
        <f aca="true">IF(OR(M138="",Q138&lt;&gt;""),"",M138-TODAY())</f>
        <v/>
      </c>
      <c r="O138" s="8" t="str">
        <f aca="true">IF(A138="","",IF(K138="Denied","Denied",IF(Q138&lt;&gt;"","Closed",IF(L138="","Requested",IF(L138&gt;TODAY(),"Approved, not started",IF(M138&lt;TODAY(),"EXPIRED",IF(M138-TODAY()&lt;=30,"Expiring (30 days or less)","Active")))))))</f>
        <v/>
      </c>
      <c r="P138" s="5"/>
      <c r="Q138" s="5"/>
      <c r="R138" s="6"/>
      <c r="S138" s="6"/>
      <c r="T138" s="8" t="str">
        <f aca="true">IF(AND(P138&lt;&gt;"",Q138="",K138&lt;&gt;"Denied",P138&lt;TODAY()),"Review overdue","")</f>
        <v/>
      </c>
    </row>
    <row r="139" customFormat="false" ht="15" hidden="false" customHeight="false" outlineLevel="0" collapsed="false">
      <c r="A139" s="4"/>
      <c r="B139" s="5"/>
      <c r="C139" s="6"/>
      <c r="D139" s="6"/>
      <c r="E139" s="6"/>
      <c r="F139" s="6"/>
      <c r="G139" s="4"/>
      <c r="H139" s="4"/>
      <c r="I139" s="4"/>
      <c r="J139" s="6"/>
      <c r="K139" s="6"/>
      <c r="L139" s="5"/>
      <c r="M139" s="5"/>
      <c r="N139" s="7" t="str">
        <f aca="true">IF(OR(M139="",Q139&lt;&gt;""),"",M139-TODAY())</f>
        <v/>
      </c>
      <c r="O139" s="8" t="str">
        <f aca="true">IF(A139="","",IF(K139="Denied","Denied",IF(Q139&lt;&gt;"","Closed",IF(L139="","Requested",IF(L139&gt;TODAY(),"Approved, not started",IF(M139&lt;TODAY(),"EXPIRED",IF(M139-TODAY()&lt;=30,"Expiring (30 days or less)","Active")))))))</f>
        <v/>
      </c>
      <c r="P139" s="5"/>
      <c r="Q139" s="5"/>
      <c r="R139" s="6"/>
      <c r="S139" s="6"/>
      <c r="T139" s="8" t="str">
        <f aca="true">IF(AND(P139&lt;&gt;"",Q139="",K139&lt;&gt;"Denied",P139&lt;TODAY()),"Review overdue","")</f>
        <v/>
      </c>
    </row>
    <row r="140" customFormat="false" ht="15" hidden="false" customHeight="false" outlineLevel="0" collapsed="false">
      <c r="A140" s="4"/>
      <c r="B140" s="5"/>
      <c r="C140" s="6"/>
      <c r="D140" s="6"/>
      <c r="E140" s="6"/>
      <c r="F140" s="6"/>
      <c r="G140" s="4"/>
      <c r="H140" s="4"/>
      <c r="I140" s="4"/>
      <c r="J140" s="6"/>
      <c r="K140" s="6"/>
      <c r="L140" s="5"/>
      <c r="M140" s="5"/>
      <c r="N140" s="7" t="str">
        <f aca="true">IF(OR(M140="",Q140&lt;&gt;""),"",M140-TODAY())</f>
        <v/>
      </c>
      <c r="O140" s="8" t="str">
        <f aca="true">IF(A140="","",IF(K140="Denied","Denied",IF(Q140&lt;&gt;"","Closed",IF(L140="","Requested",IF(L140&gt;TODAY(),"Approved, not started",IF(M140&lt;TODAY(),"EXPIRED",IF(M140-TODAY()&lt;=30,"Expiring (30 days or less)","Active")))))))</f>
        <v/>
      </c>
      <c r="P140" s="5"/>
      <c r="Q140" s="5"/>
      <c r="R140" s="6"/>
      <c r="S140" s="6"/>
      <c r="T140" s="8" t="str">
        <f aca="true">IF(AND(P140&lt;&gt;"",Q140="",K140&lt;&gt;"Denied",P140&lt;TODAY()),"Review overdue","")</f>
        <v/>
      </c>
    </row>
    <row r="141" customFormat="false" ht="15" hidden="false" customHeight="false" outlineLevel="0" collapsed="false">
      <c r="A141" s="4"/>
      <c r="B141" s="5"/>
      <c r="C141" s="6"/>
      <c r="D141" s="6"/>
      <c r="E141" s="6"/>
      <c r="F141" s="6"/>
      <c r="G141" s="4"/>
      <c r="H141" s="4"/>
      <c r="I141" s="4"/>
      <c r="J141" s="6"/>
      <c r="K141" s="6"/>
      <c r="L141" s="5"/>
      <c r="M141" s="5"/>
      <c r="N141" s="7" t="str">
        <f aca="true">IF(OR(M141="",Q141&lt;&gt;""),"",M141-TODAY())</f>
        <v/>
      </c>
      <c r="O141" s="8" t="str">
        <f aca="true">IF(A141="","",IF(K141="Denied","Denied",IF(Q141&lt;&gt;"","Closed",IF(L141="","Requested",IF(L141&gt;TODAY(),"Approved, not started",IF(M141&lt;TODAY(),"EXPIRED",IF(M141-TODAY()&lt;=30,"Expiring (30 days or less)","Active")))))))</f>
        <v/>
      </c>
      <c r="P141" s="5"/>
      <c r="Q141" s="5"/>
      <c r="R141" s="6"/>
      <c r="S141" s="6"/>
      <c r="T141" s="8" t="str">
        <f aca="true">IF(AND(P141&lt;&gt;"",Q141="",K141&lt;&gt;"Denied",P141&lt;TODAY()),"Review overdue","")</f>
        <v/>
      </c>
    </row>
    <row r="142" customFormat="false" ht="15" hidden="false" customHeight="false" outlineLevel="0" collapsed="false">
      <c r="A142" s="4"/>
      <c r="B142" s="5"/>
      <c r="C142" s="6"/>
      <c r="D142" s="6"/>
      <c r="E142" s="6"/>
      <c r="F142" s="6"/>
      <c r="G142" s="4"/>
      <c r="H142" s="4"/>
      <c r="I142" s="4"/>
      <c r="J142" s="6"/>
      <c r="K142" s="6"/>
      <c r="L142" s="5"/>
      <c r="M142" s="5"/>
      <c r="N142" s="7" t="str">
        <f aca="true">IF(OR(M142="",Q142&lt;&gt;""),"",M142-TODAY())</f>
        <v/>
      </c>
      <c r="O142" s="8" t="str">
        <f aca="true">IF(A142="","",IF(K142="Denied","Denied",IF(Q142&lt;&gt;"","Closed",IF(L142="","Requested",IF(L142&gt;TODAY(),"Approved, not started",IF(M142&lt;TODAY(),"EXPIRED",IF(M142-TODAY()&lt;=30,"Expiring (30 days or less)","Active")))))))</f>
        <v/>
      </c>
      <c r="P142" s="5"/>
      <c r="Q142" s="5"/>
      <c r="R142" s="6"/>
      <c r="S142" s="6"/>
      <c r="T142" s="8" t="str">
        <f aca="true">IF(AND(P142&lt;&gt;"",Q142="",K142&lt;&gt;"Denied",P142&lt;TODAY()),"Review overdue","")</f>
        <v/>
      </c>
    </row>
    <row r="143" customFormat="false" ht="15" hidden="false" customHeight="false" outlineLevel="0" collapsed="false">
      <c r="A143" s="4"/>
      <c r="B143" s="5"/>
      <c r="C143" s="6"/>
      <c r="D143" s="6"/>
      <c r="E143" s="6"/>
      <c r="F143" s="6"/>
      <c r="G143" s="4"/>
      <c r="H143" s="4"/>
      <c r="I143" s="4"/>
      <c r="J143" s="6"/>
      <c r="K143" s="6"/>
      <c r="L143" s="5"/>
      <c r="M143" s="5"/>
      <c r="N143" s="7" t="str">
        <f aca="true">IF(OR(M143="",Q143&lt;&gt;""),"",M143-TODAY())</f>
        <v/>
      </c>
      <c r="O143" s="8" t="str">
        <f aca="true">IF(A143="","",IF(K143="Denied","Denied",IF(Q143&lt;&gt;"","Closed",IF(L143="","Requested",IF(L143&gt;TODAY(),"Approved, not started",IF(M143&lt;TODAY(),"EXPIRED",IF(M143-TODAY()&lt;=30,"Expiring (30 days or less)","Active")))))))</f>
        <v/>
      </c>
      <c r="P143" s="5"/>
      <c r="Q143" s="5"/>
      <c r="R143" s="6"/>
      <c r="S143" s="6"/>
      <c r="T143" s="8" t="str">
        <f aca="true">IF(AND(P143&lt;&gt;"",Q143="",K143&lt;&gt;"Denied",P143&lt;TODAY()),"Review overdue","")</f>
        <v/>
      </c>
    </row>
    <row r="144" customFormat="false" ht="15" hidden="false" customHeight="false" outlineLevel="0" collapsed="false">
      <c r="A144" s="4"/>
      <c r="B144" s="5"/>
      <c r="C144" s="6"/>
      <c r="D144" s="6"/>
      <c r="E144" s="6"/>
      <c r="F144" s="6"/>
      <c r="G144" s="4"/>
      <c r="H144" s="4"/>
      <c r="I144" s="4"/>
      <c r="J144" s="6"/>
      <c r="K144" s="6"/>
      <c r="L144" s="5"/>
      <c r="M144" s="5"/>
      <c r="N144" s="7" t="str">
        <f aca="true">IF(OR(M144="",Q144&lt;&gt;""),"",M144-TODAY())</f>
        <v/>
      </c>
      <c r="O144" s="8" t="str">
        <f aca="true">IF(A144="","",IF(K144="Denied","Denied",IF(Q144&lt;&gt;"","Closed",IF(L144="","Requested",IF(L144&gt;TODAY(),"Approved, not started",IF(M144&lt;TODAY(),"EXPIRED",IF(M144-TODAY()&lt;=30,"Expiring (30 days or less)","Active")))))))</f>
        <v/>
      </c>
      <c r="P144" s="5"/>
      <c r="Q144" s="5"/>
      <c r="R144" s="6"/>
      <c r="S144" s="6"/>
      <c r="T144" s="8" t="str">
        <f aca="true">IF(AND(P144&lt;&gt;"",Q144="",K144&lt;&gt;"Denied",P144&lt;TODAY()),"Review overdue","")</f>
        <v/>
      </c>
    </row>
    <row r="145" customFormat="false" ht="15" hidden="false" customHeight="false" outlineLevel="0" collapsed="false">
      <c r="A145" s="4"/>
      <c r="B145" s="5"/>
      <c r="C145" s="6"/>
      <c r="D145" s="6"/>
      <c r="E145" s="6"/>
      <c r="F145" s="6"/>
      <c r="G145" s="4"/>
      <c r="H145" s="4"/>
      <c r="I145" s="4"/>
      <c r="J145" s="6"/>
      <c r="K145" s="6"/>
      <c r="L145" s="5"/>
      <c r="M145" s="5"/>
      <c r="N145" s="7" t="str">
        <f aca="true">IF(OR(M145="",Q145&lt;&gt;""),"",M145-TODAY())</f>
        <v/>
      </c>
      <c r="O145" s="8" t="str">
        <f aca="true">IF(A145="","",IF(K145="Denied","Denied",IF(Q145&lt;&gt;"","Closed",IF(L145="","Requested",IF(L145&gt;TODAY(),"Approved, not started",IF(M145&lt;TODAY(),"EXPIRED",IF(M145-TODAY()&lt;=30,"Expiring (30 days or less)","Active")))))))</f>
        <v/>
      </c>
      <c r="P145" s="5"/>
      <c r="Q145" s="5"/>
      <c r="R145" s="6"/>
      <c r="S145" s="6"/>
      <c r="T145" s="8" t="str">
        <f aca="true">IF(AND(P145&lt;&gt;"",Q145="",K145&lt;&gt;"Denied",P145&lt;TODAY()),"Review overdue","")</f>
        <v/>
      </c>
    </row>
    <row r="146" customFormat="false" ht="15" hidden="false" customHeight="false" outlineLevel="0" collapsed="false">
      <c r="A146" s="4"/>
      <c r="B146" s="5"/>
      <c r="C146" s="6"/>
      <c r="D146" s="6"/>
      <c r="E146" s="6"/>
      <c r="F146" s="6"/>
      <c r="G146" s="4"/>
      <c r="H146" s="4"/>
      <c r="I146" s="4"/>
      <c r="J146" s="6"/>
      <c r="K146" s="6"/>
      <c r="L146" s="5"/>
      <c r="M146" s="5"/>
      <c r="N146" s="7" t="str">
        <f aca="true">IF(OR(M146="",Q146&lt;&gt;""),"",M146-TODAY())</f>
        <v/>
      </c>
      <c r="O146" s="8" t="str">
        <f aca="true">IF(A146="","",IF(K146="Denied","Denied",IF(Q146&lt;&gt;"","Closed",IF(L146="","Requested",IF(L146&gt;TODAY(),"Approved, not started",IF(M146&lt;TODAY(),"EXPIRED",IF(M146-TODAY()&lt;=30,"Expiring (30 days or less)","Active")))))))</f>
        <v/>
      </c>
      <c r="P146" s="5"/>
      <c r="Q146" s="5"/>
      <c r="R146" s="6"/>
      <c r="S146" s="6"/>
      <c r="T146" s="8" t="str">
        <f aca="true">IF(AND(P146&lt;&gt;"",Q146="",K146&lt;&gt;"Denied",P146&lt;TODAY()),"Review overdue","")</f>
        <v/>
      </c>
    </row>
    <row r="147" customFormat="false" ht="15" hidden="false" customHeight="false" outlineLevel="0" collapsed="false">
      <c r="A147" s="4"/>
      <c r="B147" s="5"/>
      <c r="C147" s="6"/>
      <c r="D147" s="6"/>
      <c r="E147" s="6"/>
      <c r="F147" s="6"/>
      <c r="G147" s="4"/>
      <c r="H147" s="4"/>
      <c r="I147" s="4"/>
      <c r="J147" s="6"/>
      <c r="K147" s="6"/>
      <c r="L147" s="5"/>
      <c r="M147" s="5"/>
      <c r="N147" s="7" t="str">
        <f aca="true">IF(OR(M147="",Q147&lt;&gt;""),"",M147-TODAY())</f>
        <v/>
      </c>
      <c r="O147" s="8" t="str">
        <f aca="true">IF(A147="","",IF(K147="Denied","Denied",IF(Q147&lt;&gt;"","Closed",IF(L147="","Requested",IF(L147&gt;TODAY(),"Approved, not started",IF(M147&lt;TODAY(),"EXPIRED",IF(M147-TODAY()&lt;=30,"Expiring (30 days or less)","Active")))))))</f>
        <v/>
      </c>
      <c r="P147" s="5"/>
      <c r="Q147" s="5"/>
      <c r="R147" s="6"/>
      <c r="S147" s="6"/>
      <c r="T147" s="8" t="str">
        <f aca="true">IF(AND(P147&lt;&gt;"",Q147="",K147&lt;&gt;"Denied",P147&lt;TODAY()),"Review overdue","")</f>
        <v/>
      </c>
    </row>
    <row r="148" customFormat="false" ht="15" hidden="false" customHeight="false" outlineLevel="0" collapsed="false">
      <c r="A148" s="4"/>
      <c r="B148" s="5"/>
      <c r="C148" s="6"/>
      <c r="D148" s="6"/>
      <c r="E148" s="6"/>
      <c r="F148" s="6"/>
      <c r="G148" s="4"/>
      <c r="H148" s="4"/>
      <c r="I148" s="4"/>
      <c r="J148" s="6"/>
      <c r="K148" s="6"/>
      <c r="L148" s="5"/>
      <c r="M148" s="5"/>
      <c r="N148" s="7" t="str">
        <f aca="true">IF(OR(M148="",Q148&lt;&gt;""),"",M148-TODAY())</f>
        <v/>
      </c>
      <c r="O148" s="8" t="str">
        <f aca="true">IF(A148="","",IF(K148="Denied","Denied",IF(Q148&lt;&gt;"","Closed",IF(L148="","Requested",IF(L148&gt;TODAY(),"Approved, not started",IF(M148&lt;TODAY(),"EXPIRED",IF(M148-TODAY()&lt;=30,"Expiring (30 days or less)","Active")))))))</f>
        <v/>
      </c>
      <c r="P148" s="5"/>
      <c r="Q148" s="5"/>
      <c r="R148" s="6"/>
      <c r="S148" s="6"/>
      <c r="T148" s="8" t="str">
        <f aca="true">IF(AND(P148&lt;&gt;"",Q148="",K148&lt;&gt;"Denied",P148&lt;TODAY()),"Review overdue","")</f>
        <v/>
      </c>
    </row>
    <row r="149" customFormat="false" ht="15" hidden="false" customHeight="false" outlineLevel="0" collapsed="false">
      <c r="A149" s="4"/>
      <c r="B149" s="5"/>
      <c r="C149" s="6"/>
      <c r="D149" s="6"/>
      <c r="E149" s="6"/>
      <c r="F149" s="6"/>
      <c r="G149" s="4"/>
      <c r="H149" s="4"/>
      <c r="I149" s="4"/>
      <c r="J149" s="6"/>
      <c r="K149" s="6"/>
      <c r="L149" s="5"/>
      <c r="M149" s="5"/>
      <c r="N149" s="7" t="str">
        <f aca="true">IF(OR(M149="",Q149&lt;&gt;""),"",M149-TODAY())</f>
        <v/>
      </c>
      <c r="O149" s="8" t="str">
        <f aca="true">IF(A149="","",IF(K149="Denied","Denied",IF(Q149&lt;&gt;"","Closed",IF(L149="","Requested",IF(L149&gt;TODAY(),"Approved, not started",IF(M149&lt;TODAY(),"EXPIRED",IF(M149-TODAY()&lt;=30,"Expiring (30 days or less)","Active")))))))</f>
        <v/>
      </c>
      <c r="P149" s="5"/>
      <c r="Q149" s="5"/>
      <c r="R149" s="6"/>
      <c r="S149" s="6"/>
      <c r="T149" s="8" t="str">
        <f aca="true">IF(AND(P149&lt;&gt;"",Q149="",K149&lt;&gt;"Denied",P149&lt;TODAY()),"Review overdue","")</f>
        <v/>
      </c>
    </row>
    <row r="150" customFormat="false" ht="15" hidden="false" customHeight="false" outlineLevel="0" collapsed="false">
      <c r="A150" s="4"/>
      <c r="B150" s="5"/>
      <c r="C150" s="6"/>
      <c r="D150" s="6"/>
      <c r="E150" s="6"/>
      <c r="F150" s="6"/>
      <c r="G150" s="4"/>
      <c r="H150" s="4"/>
      <c r="I150" s="4"/>
      <c r="J150" s="6"/>
      <c r="K150" s="6"/>
      <c r="L150" s="5"/>
      <c r="M150" s="5"/>
      <c r="N150" s="7" t="str">
        <f aca="true">IF(OR(M150="",Q150&lt;&gt;""),"",M150-TODAY())</f>
        <v/>
      </c>
      <c r="O150" s="8" t="str">
        <f aca="true">IF(A150="","",IF(K150="Denied","Denied",IF(Q150&lt;&gt;"","Closed",IF(L150="","Requested",IF(L150&gt;TODAY(),"Approved, not started",IF(M150&lt;TODAY(),"EXPIRED",IF(M150-TODAY()&lt;=30,"Expiring (30 days or less)","Active")))))))</f>
        <v/>
      </c>
      <c r="P150" s="5"/>
      <c r="Q150" s="5"/>
      <c r="R150" s="6"/>
      <c r="S150" s="6"/>
      <c r="T150" s="8" t="str">
        <f aca="true">IF(AND(P150&lt;&gt;"",Q150="",K150&lt;&gt;"Denied",P150&lt;TODAY()),"Review overdue","")</f>
        <v/>
      </c>
    </row>
    <row r="151" customFormat="false" ht="15" hidden="false" customHeight="false" outlineLevel="0" collapsed="false">
      <c r="A151" s="4"/>
      <c r="B151" s="5"/>
      <c r="C151" s="6"/>
      <c r="D151" s="6"/>
      <c r="E151" s="6"/>
      <c r="F151" s="6"/>
      <c r="G151" s="4"/>
      <c r="H151" s="4"/>
      <c r="I151" s="4"/>
      <c r="J151" s="6"/>
      <c r="K151" s="6"/>
      <c r="L151" s="5"/>
      <c r="M151" s="5"/>
      <c r="N151" s="7" t="str">
        <f aca="true">IF(OR(M151="",Q151&lt;&gt;""),"",M151-TODAY())</f>
        <v/>
      </c>
      <c r="O151" s="8" t="str">
        <f aca="true">IF(A151="","",IF(K151="Denied","Denied",IF(Q151&lt;&gt;"","Closed",IF(L151="","Requested",IF(L151&gt;TODAY(),"Approved, not started",IF(M151&lt;TODAY(),"EXPIRED",IF(M151-TODAY()&lt;=30,"Expiring (30 days or less)","Active")))))))</f>
        <v/>
      </c>
      <c r="P151" s="5"/>
      <c r="Q151" s="5"/>
      <c r="R151" s="6"/>
      <c r="S151" s="6"/>
      <c r="T151" s="8" t="str">
        <f aca="true">IF(AND(P151&lt;&gt;"",Q151="",K151&lt;&gt;"Denied",P151&lt;TODAY()),"Review overdue","")</f>
        <v/>
      </c>
    </row>
    <row r="152" customFormat="false" ht="15" hidden="false" customHeight="false" outlineLevel="0" collapsed="false">
      <c r="A152" s="4"/>
      <c r="B152" s="5"/>
      <c r="C152" s="6"/>
      <c r="D152" s="6"/>
      <c r="E152" s="6"/>
      <c r="F152" s="6"/>
      <c r="G152" s="4"/>
      <c r="H152" s="4"/>
      <c r="I152" s="4"/>
      <c r="J152" s="6"/>
      <c r="K152" s="6"/>
      <c r="L152" s="5"/>
      <c r="M152" s="5"/>
      <c r="N152" s="7" t="str">
        <f aca="true">IF(OR(M152="",Q152&lt;&gt;""),"",M152-TODAY())</f>
        <v/>
      </c>
      <c r="O152" s="8" t="str">
        <f aca="true">IF(A152="","",IF(K152="Denied","Denied",IF(Q152&lt;&gt;"","Closed",IF(L152="","Requested",IF(L152&gt;TODAY(),"Approved, not started",IF(M152&lt;TODAY(),"EXPIRED",IF(M152-TODAY()&lt;=30,"Expiring (30 days or less)","Active")))))))</f>
        <v/>
      </c>
      <c r="P152" s="5"/>
      <c r="Q152" s="5"/>
      <c r="R152" s="6"/>
      <c r="S152" s="6"/>
      <c r="T152" s="8" t="str">
        <f aca="true">IF(AND(P152&lt;&gt;"",Q152="",K152&lt;&gt;"Denied",P152&lt;TODAY()),"Review overdue","")</f>
        <v/>
      </c>
    </row>
    <row r="153" customFormat="false" ht="15" hidden="false" customHeight="false" outlineLevel="0" collapsed="false">
      <c r="A153" s="4"/>
      <c r="B153" s="5"/>
      <c r="C153" s="6"/>
      <c r="D153" s="6"/>
      <c r="E153" s="6"/>
      <c r="F153" s="6"/>
      <c r="G153" s="4"/>
      <c r="H153" s="4"/>
      <c r="I153" s="4"/>
      <c r="J153" s="6"/>
      <c r="K153" s="6"/>
      <c r="L153" s="5"/>
      <c r="M153" s="5"/>
      <c r="N153" s="7" t="str">
        <f aca="true">IF(OR(M153="",Q153&lt;&gt;""),"",M153-TODAY())</f>
        <v/>
      </c>
      <c r="O153" s="8" t="str">
        <f aca="true">IF(A153="","",IF(K153="Denied","Denied",IF(Q153&lt;&gt;"","Closed",IF(L153="","Requested",IF(L153&gt;TODAY(),"Approved, not started",IF(M153&lt;TODAY(),"EXPIRED",IF(M153-TODAY()&lt;=30,"Expiring (30 days or less)","Active")))))))</f>
        <v/>
      </c>
      <c r="P153" s="5"/>
      <c r="Q153" s="5"/>
      <c r="R153" s="6"/>
      <c r="S153" s="6"/>
      <c r="T153" s="8" t="str">
        <f aca="true">IF(AND(P153&lt;&gt;"",Q153="",K153&lt;&gt;"Denied",P153&lt;TODAY()),"Review overdue","")</f>
        <v/>
      </c>
    </row>
    <row r="154" customFormat="false" ht="15" hidden="false" customHeight="false" outlineLevel="0" collapsed="false">
      <c r="A154" s="4"/>
      <c r="B154" s="5"/>
      <c r="C154" s="6"/>
      <c r="D154" s="6"/>
      <c r="E154" s="6"/>
      <c r="F154" s="6"/>
      <c r="G154" s="4"/>
      <c r="H154" s="4"/>
      <c r="I154" s="4"/>
      <c r="J154" s="6"/>
      <c r="K154" s="6"/>
      <c r="L154" s="5"/>
      <c r="M154" s="5"/>
      <c r="N154" s="7" t="str">
        <f aca="true">IF(OR(M154="",Q154&lt;&gt;""),"",M154-TODAY())</f>
        <v/>
      </c>
      <c r="O154" s="8" t="str">
        <f aca="true">IF(A154="","",IF(K154="Denied","Denied",IF(Q154&lt;&gt;"","Closed",IF(L154="","Requested",IF(L154&gt;TODAY(),"Approved, not started",IF(M154&lt;TODAY(),"EXPIRED",IF(M154-TODAY()&lt;=30,"Expiring (30 days or less)","Active")))))))</f>
        <v/>
      </c>
      <c r="P154" s="5"/>
      <c r="Q154" s="5"/>
      <c r="R154" s="6"/>
      <c r="S154" s="6"/>
      <c r="T154" s="8" t="str">
        <f aca="true">IF(AND(P154&lt;&gt;"",Q154="",K154&lt;&gt;"Denied",P154&lt;TODAY()),"Review overdue","")</f>
        <v/>
      </c>
    </row>
    <row r="155" customFormat="false" ht="15" hidden="false" customHeight="false" outlineLevel="0" collapsed="false">
      <c r="A155" s="4"/>
      <c r="B155" s="5"/>
      <c r="C155" s="6"/>
      <c r="D155" s="6"/>
      <c r="E155" s="6"/>
      <c r="F155" s="6"/>
      <c r="G155" s="4"/>
      <c r="H155" s="4"/>
      <c r="I155" s="4"/>
      <c r="J155" s="6"/>
      <c r="K155" s="6"/>
      <c r="L155" s="5"/>
      <c r="M155" s="5"/>
      <c r="N155" s="7" t="str">
        <f aca="true">IF(OR(M155="",Q155&lt;&gt;""),"",M155-TODAY())</f>
        <v/>
      </c>
      <c r="O155" s="8" t="str">
        <f aca="true">IF(A155="","",IF(K155="Denied","Denied",IF(Q155&lt;&gt;"","Closed",IF(L155="","Requested",IF(L155&gt;TODAY(),"Approved, not started",IF(M155&lt;TODAY(),"EXPIRED",IF(M155-TODAY()&lt;=30,"Expiring (30 days or less)","Active")))))))</f>
        <v/>
      </c>
      <c r="P155" s="5"/>
      <c r="Q155" s="5"/>
      <c r="R155" s="6"/>
      <c r="S155" s="6"/>
      <c r="T155" s="8" t="str">
        <f aca="true">IF(AND(P155&lt;&gt;"",Q155="",K155&lt;&gt;"Denied",P155&lt;TODAY()),"Review overdue","")</f>
        <v/>
      </c>
    </row>
    <row r="156" customFormat="false" ht="15" hidden="false" customHeight="false" outlineLevel="0" collapsed="false">
      <c r="A156" s="4"/>
      <c r="B156" s="5"/>
      <c r="C156" s="6"/>
      <c r="D156" s="6"/>
      <c r="E156" s="6"/>
      <c r="F156" s="6"/>
      <c r="G156" s="4"/>
      <c r="H156" s="4"/>
      <c r="I156" s="4"/>
      <c r="J156" s="6"/>
      <c r="K156" s="6"/>
      <c r="L156" s="5"/>
      <c r="M156" s="5"/>
      <c r="N156" s="7" t="str">
        <f aca="true">IF(OR(M156="",Q156&lt;&gt;""),"",M156-TODAY())</f>
        <v/>
      </c>
      <c r="O156" s="8" t="str">
        <f aca="true">IF(A156="","",IF(K156="Denied","Denied",IF(Q156&lt;&gt;"","Closed",IF(L156="","Requested",IF(L156&gt;TODAY(),"Approved, not started",IF(M156&lt;TODAY(),"EXPIRED",IF(M156-TODAY()&lt;=30,"Expiring (30 days or less)","Active")))))))</f>
        <v/>
      </c>
      <c r="P156" s="5"/>
      <c r="Q156" s="5"/>
      <c r="R156" s="6"/>
      <c r="S156" s="6"/>
      <c r="T156" s="8" t="str">
        <f aca="true">IF(AND(P156&lt;&gt;"",Q156="",K156&lt;&gt;"Denied",P156&lt;TODAY()),"Review overdue","")</f>
        <v/>
      </c>
    </row>
    <row r="157" customFormat="false" ht="15" hidden="false" customHeight="false" outlineLevel="0" collapsed="false">
      <c r="A157" s="4"/>
      <c r="B157" s="5"/>
      <c r="C157" s="6"/>
      <c r="D157" s="6"/>
      <c r="E157" s="6"/>
      <c r="F157" s="6"/>
      <c r="G157" s="4"/>
      <c r="H157" s="4"/>
      <c r="I157" s="4"/>
      <c r="J157" s="6"/>
      <c r="K157" s="6"/>
      <c r="L157" s="5"/>
      <c r="M157" s="5"/>
      <c r="N157" s="7" t="str">
        <f aca="true">IF(OR(M157="",Q157&lt;&gt;""),"",M157-TODAY())</f>
        <v/>
      </c>
      <c r="O157" s="8" t="str">
        <f aca="true">IF(A157="","",IF(K157="Denied","Denied",IF(Q157&lt;&gt;"","Closed",IF(L157="","Requested",IF(L157&gt;TODAY(),"Approved, not started",IF(M157&lt;TODAY(),"EXPIRED",IF(M157-TODAY()&lt;=30,"Expiring (30 days or less)","Active")))))))</f>
        <v/>
      </c>
      <c r="P157" s="5"/>
      <c r="Q157" s="5"/>
      <c r="R157" s="6"/>
      <c r="S157" s="6"/>
      <c r="T157" s="8" t="str">
        <f aca="true">IF(AND(P157&lt;&gt;"",Q157="",K157&lt;&gt;"Denied",P157&lt;TODAY()),"Review overdue","")</f>
        <v/>
      </c>
    </row>
    <row r="158" customFormat="false" ht="15" hidden="false" customHeight="false" outlineLevel="0" collapsed="false">
      <c r="A158" s="4"/>
      <c r="B158" s="5"/>
      <c r="C158" s="6"/>
      <c r="D158" s="6"/>
      <c r="E158" s="6"/>
      <c r="F158" s="6"/>
      <c r="G158" s="4"/>
      <c r="H158" s="4"/>
      <c r="I158" s="4"/>
      <c r="J158" s="6"/>
      <c r="K158" s="6"/>
      <c r="L158" s="5"/>
      <c r="M158" s="5"/>
      <c r="N158" s="7" t="str">
        <f aca="true">IF(OR(M158="",Q158&lt;&gt;""),"",M158-TODAY())</f>
        <v/>
      </c>
      <c r="O158" s="8" t="str">
        <f aca="true">IF(A158="","",IF(K158="Denied","Denied",IF(Q158&lt;&gt;"","Closed",IF(L158="","Requested",IF(L158&gt;TODAY(),"Approved, not started",IF(M158&lt;TODAY(),"EXPIRED",IF(M158-TODAY()&lt;=30,"Expiring (30 days or less)","Active")))))))</f>
        <v/>
      </c>
      <c r="P158" s="5"/>
      <c r="Q158" s="5"/>
      <c r="R158" s="6"/>
      <c r="S158" s="6"/>
      <c r="T158" s="8" t="str">
        <f aca="true">IF(AND(P158&lt;&gt;"",Q158="",K158&lt;&gt;"Denied",P158&lt;TODAY()),"Review overdue","")</f>
        <v/>
      </c>
    </row>
    <row r="159" customFormat="false" ht="15" hidden="false" customHeight="false" outlineLevel="0" collapsed="false">
      <c r="A159" s="4"/>
      <c r="B159" s="5"/>
      <c r="C159" s="6"/>
      <c r="D159" s="6"/>
      <c r="E159" s="6"/>
      <c r="F159" s="6"/>
      <c r="G159" s="4"/>
      <c r="H159" s="4"/>
      <c r="I159" s="4"/>
      <c r="J159" s="6"/>
      <c r="K159" s="6"/>
      <c r="L159" s="5"/>
      <c r="M159" s="5"/>
      <c r="N159" s="7" t="str">
        <f aca="true">IF(OR(M159="",Q159&lt;&gt;""),"",M159-TODAY())</f>
        <v/>
      </c>
      <c r="O159" s="8" t="str">
        <f aca="true">IF(A159="","",IF(K159="Denied","Denied",IF(Q159&lt;&gt;"","Closed",IF(L159="","Requested",IF(L159&gt;TODAY(),"Approved, not started",IF(M159&lt;TODAY(),"EXPIRED",IF(M159-TODAY()&lt;=30,"Expiring (30 days or less)","Active")))))))</f>
        <v/>
      </c>
      <c r="P159" s="5"/>
      <c r="Q159" s="5"/>
      <c r="R159" s="6"/>
      <c r="S159" s="6"/>
      <c r="T159" s="8" t="str">
        <f aca="true">IF(AND(P159&lt;&gt;"",Q159="",K159&lt;&gt;"Denied",P159&lt;TODAY()),"Review overdue","")</f>
        <v/>
      </c>
    </row>
    <row r="160" customFormat="false" ht="15" hidden="false" customHeight="false" outlineLevel="0" collapsed="false">
      <c r="A160" s="4"/>
      <c r="B160" s="5"/>
      <c r="C160" s="6"/>
      <c r="D160" s="6"/>
      <c r="E160" s="6"/>
      <c r="F160" s="6"/>
      <c r="G160" s="4"/>
      <c r="H160" s="4"/>
      <c r="I160" s="4"/>
      <c r="J160" s="6"/>
      <c r="K160" s="6"/>
      <c r="L160" s="5"/>
      <c r="M160" s="5"/>
      <c r="N160" s="7" t="str">
        <f aca="true">IF(OR(M160="",Q160&lt;&gt;""),"",M160-TODAY())</f>
        <v/>
      </c>
      <c r="O160" s="8" t="str">
        <f aca="true">IF(A160="","",IF(K160="Denied","Denied",IF(Q160&lt;&gt;"","Closed",IF(L160="","Requested",IF(L160&gt;TODAY(),"Approved, not started",IF(M160&lt;TODAY(),"EXPIRED",IF(M160-TODAY()&lt;=30,"Expiring (30 days or less)","Active")))))))</f>
        <v/>
      </c>
      <c r="P160" s="5"/>
      <c r="Q160" s="5"/>
      <c r="R160" s="6"/>
      <c r="S160" s="6"/>
      <c r="T160" s="8" t="str">
        <f aca="true">IF(AND(P160&lt;&gt;"",Q160="",K160&lt;&gt;"Denied",P160&lt;TODAY()),"Review overdue","")</f>
        <v/>
      </c>
    </row>
    <row r="161" customFormat="false" ht="15" hidden="false" customHeight="false" outlineLevel="0" collapsed="false">
      <c r="A161" s="4"/>
      <c r="B161" s="5"/>
      <c r="C161" s="6"/>
      <c r="D161" s="6"/>
      <c r="E161" s="6"/>
      <c r="F161" s="6"/>
      <c r="G161" s="4"/>
      <c r="H161" s="4"/>
      <c r="I161" s="4"/>
      <c r="J161" s="6"/>
      <c r="K161" s="6"/>
      <c r="L161" s="5"/>
      <c r="M161" s="5"/>
      <c r="N161" s="7" t="str">
        <f aca="true">IF(OR(M161="",Q161&lt;&gt;""),"",M161-TODAY())</f>
        <v/>
      </c>
      <c r="O161" s="8" t="str">
        <f aca="true">IF(A161="","",IF(K161="Denied","Denied",IF(Q161&lt;&gt;"","Closed",IF(L161="","Requested",IF(L161&gt;TODAY(),"Approved, not started",IF(M161&lt;TODAY(),"EXPIRED",IF(M161-TODAY()&lt;=30,"Expiring (30 days or less)","Active")))))))</f>
        <v/>
      </c>
      <c r="P161" s="5"/>
      <c r="Q161" s="5"/>
      <c r="R161" s="6"/>
      <c r="S161" s="6"/>
      <c r="T161" s="8" t="str">
        <f aca="true">IF(AND(P161&lt;&gt;"",Q161="",K161&lt;&gt;"Denied",P161&lt;TODAY()),"Review overdue","")</f>
        <v/>
      </c>
    </row>
    <row r="162" customFormat="false" ht="15" hidden="false" customHeight="false" outlineLevel="0" collapsed="false">
      <c r="A162" s="4"/>
      <c r="B162" s="5"/>
      <c r="C162" s="6"/>
      <c r="D162" s="6"/>
      <c r="E162" s="6"/>
      <c r="F162" s="6"/>
      <c r="G162" s="4"/>
      <c r="H162" s="4"/>
      <c r="I162" s="4"/>
      <c r="J162" s="6"/>
      <c r="K162" s="6"/>
      <c r="L162" s="5"/>
      <c r="M162" s="5"/>
      <c r="N162" s="7" t="str">
        <f aca="true">IF(OR(M162="",Q162&lt;&gt;""),"",M162-TODAY())</f>
        <v/>
      </c>
      <c r="O162" s="8" t="str">
        <f aca="true">IF(A162="","",IF(K162="Denied","Denied",IF(Q162&lt;&gt;"","Closed",IF(L162="","Requested",IF(L162&gt;TODAY(),"Approved, not started",IF(M162&lt;TODAY(),"EXPIRED",IF(M162-TODAY()&lt;=30,"Expiring (30 days or less)","Active")))))))</f>
        <v/>
      </c>
      <c r="P162" s="5"/>
      <c r="Q162" s="5"/>
      <c r="R162" s="6"/>
      <c r="S162" s="6"/>
      <c r="T162" s="8" t="str">
        <f aca="true">IF(AND(P162&lt;&gt;"",Q162="",K162&lt;&gt;"Denied",P162&lt;TODAY()),"Review overdue","")</f>
        <v/>
      </c>
    </row>
    <row r="163" customFormat="false" ht="15" hidden="false" customHeight="false" outlineLevel="0" collapsed="false">
      <c r="A163" s="4"/>
      <c r="B163" s="5"/>
      <c r="C163" s="6"/>
      <c r="D163" s="6"/>
      <c r="E163" s="6"/>
      <c r="F163" s="6"/>
      <c r="G163" s="4"/>
      <c r="H163" s="4"/>
      <c r="I163" s="4"/>
      <c r="J163" s="6"/>
      <c r="K163" s="6"/>
      <c r="L163" s="5"/>
      <c r="M163" s="5"/>
      <c r="N163" s="7" t="str">
        <f aca="true">IF(OR(M163="",Q163&lt;&gt;""),"",M163-TODAY())</f>
        <v/>
      </c>
      <c r="O163" s="8" t="str">
        <f aca="true">IF(A163="","",IF(K163="Denied","Denied",IF(Q163&lt;&gt;"","Closed",IF(L163="","Requested",IF(L163&gt;TODAY(),"Approved, not started",IF(M163&lt;TODAY(),"EXPIRED",IF(M163-TODAY()&lt;=30,"Expiring (30 days or less)","Active")))))))</f>
        <v/>
      </c>
      <c r="P163" s="5"/>
      <c r="Q163" s="5"/>
      <c r="R163" s="6"/>
      <c r="S163" s="6"/>
      <c r="T163" s="8" t="str">
        <f aca="true">IF(AND(P163&lt;&gt;"",Q163="",K163&lt;&gt;"Denied",P163&lt;TODAY()),"Review overdue","")</f>
        <v/>
      </c>
    </row>
    <row r="164" customFormat="false" ht="15" hidden="false" customHeight="false" outlineLevel="0" collapsed="false">
      <c r="A164" s="4"/>
      <c r="B164" s="5"/>
      <c r="C164" s="6"/>
      <c r="D164" s="6"/>
      <c r="E164" s="6"/>
      <c r="F164" s="6"/>
      <c r="G164" s="4"/>
      <c r="H164" s="4"/>
      <c r="I164" s="4"/>
      <c r="J164" s="6"/>
      <c r="K164" s="6"/>
      <c r="L164" s="5"/>
      <c r="M164" s="5"/>
      <c r="N164" s="7" t="str">
        <f aca="true">IF(OR(M164="",Q164&lt;&gt;""),"",M164-TODAY())</f>
        <v/>
      </c>
      <c r="O164" s="8" t="str">
        <f aca="true">IF(A164="","",IF(K164="Denied","Denied",IF(Q164&lt;&gt;"","Closed",IF(L164="","Requested",IF(L164&gt;TODAY(),"Approved, not started",IF(M164&lt;TODAY(),"EXPIRED",IF(M164-TODAY()&lt;=30,"Expiring (30 days or less)","Active")))))))</f>
        <v/>
      </c>
      <c r="P164" s="5"/>
      <c r="Q164" s="5"/>
      <c r="R164" s="6"/>
      <c r="S164" s="6"/>
      <c r="T164" s="8" t="str">
        <f aca="true">IF(AND(P164&lt;&gt;"",Q164="",K164&lt;&gt;"Denied",P164&lt;TODAY()),"Review overdue","")</f>
        <v/>
      </c>
    </row>
    <row r="165" customFormat="false" ht="15" hidden="false" customHeight="false" outlineLevel="0" collapsed="false">
      <c r="A165" s="4"/>
      <c r="B165" s="5"/>
      <c r="C165" s="6"/>
      <c r="D165" s="6"/>
      <c r="E165" s="6"/>
      <c r="F165" s="6"/>
      <c r="G165" s="4"/>
      <c r="H165" s="4"/>
      <c r="I165" s="4"/>
      <c r="J165" s="6"/>
      <c r="K165" s="6"/>
      <c r="L165" s="5"/>
      <c r="M165" s="5"/>
      <c r="N165" s="7" t="str">
        <f aca="true">IF(OR(M165="",Q165&lt;&gt;""),"",M165-TODAY())</f>
        <v/>
      </c>
      <c r="O165" s="8" t="str">
        <f aca="true">IF(A165="","",IF(K165="Denied","Denied",IF(Q165&lt;&gt;"","Closed",IF(L165="","Requested",IF(L165&gt;TODAY(),"Approved, not started",IF(M165&lt;TODAY(),"EXPIRED",IF(M165-TODAY()&lt;=30,"Expiring (30 days or less)","Active")))))))</f>
        <v/>
      </c>
      <c r="P165" s="5"/>
      <c r="Q165" s="5"/>
      <c r="R165" s="6"/>
      <c r="S165" s="6"/>
      <c r="T165" s="8" t="str">
        <f aca="true">IF(AND(P165&lt;&gt;"",Q165="",K165&lt;&gt;"Denied",P165&lt;TODAY()),"Review overdue","")</f>
        <v/>
      </c>
    </row>
    <row r="166" customFormat="false" ht="15" hidden="false" customHeight="false" outlineLevel="0" collapsed="false">
      <c r="A166" s="4"/>
      <c r="B166" s="5"/>
      <c r="C166" s="6"/>
      <c r="D166" s="6"/>
      <c r="E166" s="6"/>
      <c r="F166" s="6"/>
      <c r="G166" s="4"/>
      <c r="H166" s="4"/>
      <c r="I166" s="4"/>
      <c r="J166" s="6"/>
      <c r="K166" s="6"/>
      <c r="L166" s="5"/>
      <c r="M166" s="5"/>
      <c r="N166" s="7" t="str">
        <f aca="true">IF(OR(M166="",Q166&lt;&gt;""),"",M166-TODAY())</f>
        <v/>
      </c>
      <c r="O166" s="8" t="str">
        <f aca="true">IF(A166="","",IF(K166="Denied","Denied",IF(Q166&lt;&gt;"","Closed",IF(L166="","Requested",IF(L166&gt;TODAY(),"Approved, not started",IF(M166&lt;TODAY(),"EXPIRED",IF(M166-TODAY()&lt;=30,"Expiring (30 days or less)","Active")))))))</f>
        <v/>
      </c>
      <c r="P166" s="5"/>
      <c r="Q166" s="5"/>
      <c r="R166" s="6"/>
      <c r="S166" s="6"/>
      <c r="T166" s="8" t="str">
        <f aca="true">IF(AND(P166&lt;&gt;"",Q166="",K166&lt;&gt;"Denied",P166&lt;TODAY()),"Review overdue","")</f>
        <v/>
      </c>
    </row>
    <row r="167" customFormat="false" ht="15" hidden="false" customHeight="false" outlineLevel="0" collapsed="false">
      <c r="A167" s="4"/>
      <c r="B167" s="5"/>
      <c r="C167" s="6"/>
      <c r="D167" s="6"/>
      <c r="E167" s="6"/>
      <c r="F167" s="6"/>
      <c r="G167" s="4"/>
      <c r="H167" s="4"/>
      <c r="I167" s="4"/>
      <c r="J167" s="6"/>
      <c r="K167" s="6"/>
      <c r="L167" s="5"/>
      <c r="M167" s="5"/>
      <c r="N167" s="7" t="str">
        <f aca="true">IF(OR(M167="",Q167&lt;&gt;""),"",M167-TODAY())</f>
        <v/>
      </c>
      <c r="O167" s="8" t="str">
        <f aca="true">IF(A167="","",IF(K167="Denied","Denied",IF(Q167&lt;&gt;"","Closed",IF(L167="","Requested",IF(L167&gt;TODAY(),"Approved, not started",IF(M167&lt;TODAY(),"EXPIRED",IF(M167-TODAY()&lt;=30,"Expiring (30 days or less)","Active")))))))</f>
        <v/>
      </c>
      <c r="P167" s="5"/>
      <c r="Q167" s="5"/>
      <c r="R167" s="6"/>
      <c r="S167" s="6"/>
      <c r="T167" s="8" t="str">
        <f aca="true">IF(AND(P167&lt;&gt;"",Q167="",K167&lt;&gt;"Denied",P167&lt;TODAY()),"Review overdue","")</f>
        <v/>
      </c>
    </row>
    <row r="168" customFormat="false" ht="15" hidden="false" customHeight="false" outlineLevel="0" collapsed="false">
      <c r="A168" s="4"/>
      <c r="B168" s="5"/>
      <c r="C168" s="6"/>
      <c r="D168" s="6"/>
      <c r="E168" s="6"/>
      <c r="F168" s="6"/>
      <c r="G168" s="4"/>
      <c r="H168" s="4"/>
      <c r="I168" s="4"/>
      <c r="J168" s="6"/>
      <c r="K168" s="6"/>
      <c r="L168" s="5"/>
      <c r="M168" s="5"/>
      <c r="N168" s="7" t="str">
        <f aca="true">IF(OR(M168="",Q168&lt;&gt;""),"",M168-TODAY())</f>
        <v/>
      </c>
      <c r="O168" s="8" t="str">
        <f aca="true">IF(A168="","",IF(K168="Denied","Denied",IF(Q168&lt;&gt;"","Closed",IF(L168="","Requested",IF(L168&gt;TODAY(),"Approved, not started",IF(M168&lt;TODAY(),"EXPIRED",IF(M168-TODAY()&lt;=30,"Expiring (30 days or less)","Active")))))))</f>
        <v/>
      </c>
      <c r="P168" s="5"/>
      <c r="Q168" s="5"/>
      <c r="R168" s="6"/>
      <c r="S168" s="6"/>
      <c r="T168" s="8" t="str">
        <f aca="true">IF(AND(P168&lt;&gt;"",Q168="",K168&lt;&gt;"Denied",P168&lt;TODAY()),"Review overdue","")</f>
        <v/>
      </c>
    </row>
    <row r="169" customFormat="false" ht="15" hidden="false" customHeight="false" outlineLevel="0" collapsed="false">
      <c r="A169" s="4"/>
      <c r="B169" s="5"/>
      <c r="C169" s="6"/>
      <c r="D169" s="6"/>
      <c r="E169" s="6"/>
      <c r="F169" s="6"/>
      <c r="G169" s="4"/>
      <c r="H169" s="4"/>
      <c r="I169" s="4"/>
      <c r="J169" s="6"/>
      <c r="K169" s="6"/>
      <c r="L169" s="5"/>
      <c r="M169" s="5"/>
      <c r="N169" s="7" t="str">
        <f aca="true">IF(OR(M169="",Q169&lt;&gt;""),"",M169-TODAY())</f>
        <v/>
      </c>
      <c r="O169" s="8" t="str">
        <f aca="true">IF(A169="","",IF(K169="Denied","Denied",IF(Q169&lt;&gt;"","Closed",IF(L169="","Requested",IF(L169&gt;TODAY(),"Approved, not started",IF(M169&lt;TODAY(),"EXPIRED",IF(M169-TODAY()&lt;=30,"Expiring (30 days or less)","Active")))))))</f>
        <v/>
      </c>
      <c r="P169" s="5"/>
      <c r="Q169" s="5"/>
      <c r="R169" s="6"/>
      <c r="S169" s="6"/>
      <c r="T169" s="8" t="str">
        <f aca="true">IF(AND(P169&lt;&gt;"",Q169="",K169&lt;&gt;"Denied",P169&lt;TODAY()),"Review overdue","")</f>
        <v/>
      </c>
    </row>
    <row r="170" customFormat="false" ht="15" hidden="false" customHeight="false" outlineLevel="0" collapsed="false">
      <c r="A170" s="4"/>
      <c r="B170" s="5"/>
      <c r="C170" s="6"/>
      <c r="D170" s="6"/>
      <c r="E170" s="6"/>
      <c r="F170" s="6"/>
      <c r="G170" s="4"/>
      <c r="H170" s="4"/>
      <c r="I170" s="4"/>
      <c r="J170" s="6"/>
      <c r="K170" s="6"/>
      <c r="L170" s="5"/>
      <c r="M170" s="5"/>
      <c r="N170" s="7" t="str">
        <f aca="true">IF(OR(M170="",Q170&lt;&gt;""),"",M170-TODAY())</f>
        <v/>
      </c>
      <c r="O170" s="8" t="str">
        <f aca="true">IF(A170="","",IF(K170="Denied","Denied",IF(Q170&lt;&gt;"","Closed",IF(L170="","Requested",IF(L170&gt;TODAY(),"Approved, not started",IF(M170&lt;TODAY(),"EXPIRED",IF(M170-TODAY()&lt;=30,"Expiring (30 days or less)","Active")))))))</f>
        <v/>
      </c>
      <c r="P170" s="5"/>
      <c r="Q170" s="5"/>
      <c r="R170" s="6"/>
      <c r="S170" s="6"/>
      <c r="T170" s="8" t="str">
        <f aca="true">IF(AND(P170&lt;&gt;"",Q170="",K170&lt;&gt;"Denied",P170&lt;TODAY()),"Review overdue","")</f>
        <v/>
      </c>
    </row>
    <row r="171" customFormat="false" ht="15" hidden="false" customHeight="false" outlineLevel="0" collapsed="false">
      <c r="A171" s="4"/>
      <c r="B171" s="5"/>
      <c r="C171" s="6"/>
      <c r="D171" s="6"/>
      <c r="E171" s="6"/>
      <c r="F171" s="6"/>
      <c r="G171" s="4"/>
      <c r="H171" s="4"/>
      <c r="I171" s="4"/>
      <c r="J171" s="6"/>
      <c r="K171" s="6"/>
      <c r="L171" s="5"/>
      <c r="M171" s="5"/>
      <c r="N171" s="7" t="str">
        <f aca="true">IF(OR(M171="",Q171&lt;&gt;""),"",M171-TODAY())</f>
        <v/>
      </c>
      <c r="O171" s="8" t="str">
        <f aca="true">IF(A171="","",IF(K171="Denied","Denied",IF(Q171&lt;&gt;"","Closed",IF(L171="","Requested",IF(L171&gt;TODAY(),"Approved, not started",IF(M171&lt;TODAY(),"EXPIRED",IF(M171-TODAY()&lt;=30,"Expiring (30 days or less)","Active")))))))</f>
        <v/>
      </c>
      <c r="P171" s="5"/>
      <c r="Q171" s="5"/>
      <c r="R171" s="6"/>
      <c r="S171" s="6"/>
      <c r="T171" s="8" t="str">
        <f aca="true">IF(AND(P171&lt;&gt;"",Q171="",K171&lt;&gt;"Denied",P171&lt;TODAY()),"Review overdue","")</f>
        <v/>
      </c>
    </row>
    <row r="172" customFormat="false" ht="15" hidden="false" customHeight="false" outlineLevel="0" collapsed="false">
      <c r="A172" s="4"/>
      <c r="B172" s="5"/>
      <c r="C172" s="6"/>
      <c r="D172" s="6"/>
      <c r="E172" s="6"/>
      <c r="F172" s="6"/>
      <c r="G172" s="4"/>
      <c r="H172" s="4"/>
      <c r="I172" s="4"/>
      <c r="J172" s="6"/>
      <c r="K172" s="6"/>
      <c r="L172" s="5"/>
      <c r="M172" s="5"/>
      <c r="N172" s="7" t="str">
        <f aca="true">IF(OR(M172="",Q172&lt;&gt;""),"",M172-TODAY())</f>
        <v/>
      </c>
      <c r="O172" s="8" t="str">
        <f aca="true">IF(A172="","",IF(K172="Denied","Denied",IF(Q172&lt;&gt;"","Closed",IF(L172="","Requested",IF(L172&gt;TODAY(),"Approved, not started",IF(M172&lt;TODAY(),"EXPIRED",IF(M172-TODAY()&lt;=30,"Expiring (30 days or less)","Active")))))))</f>
        <v/>
      </c>
      <c r="P172" s="5"/>
      <c r="Q172" s="5"/>
      <c r="R172" s="6"/>
      <c r="S172" s="6"/>
      <c r="T172" s="8" t="str">
        <f aca="true">IF(AND(P172&lt;&gt;"",Q172="",K172&lt;&gt;"Denied",P172&lt;TODAY()),"Review overdue","")</f>
        <v/>
      </c>
    </row>
    <row r="173" customFormat="false" ht="15" hidden="false" customHeight="false" outlineLevel="0" collapsed="false">
      <c r="A173" s="4"/>
      <c r="B173" s="5"/>
      <c r="C173" s="6"/>
      <c r="D173" s="6"/>
      <c r="E173" s="6"/>
      <c r="F173" s="6"/>
      <c r="G173" s="4"/>
      <c r="H173" s="4"/>
      <c r="I173" s="4"/>
      <c r="J173" s="6"/>
      <c r="K173" s="6"/>
      <c r="L173" s="5"/>
      <c r="M173" s="5"/>
      <c r="N173" s="7" t="str">
        <f aca="true">IF(OR(M173="",Q173&lt;&gt;""),"",M173-TODAY())</f>
        <v/>
      </c>
      <c r="O173" s="8" t="str">
        <f aca="true">IF(A173="","",IF(K173="Denied","Denied",IF(Q173&lt;&gt;"","Closed",IF(L173="","Requested",IF(L173&gt;TODAY(),"Approved, not started",IF(M173&lt;TODAY(),"EXPIRED",IF(M173-TODAY()&lt;=30,"Expiring (30 days or less)","Active")))))))</f>
        <v/>
      </c>
      <c r="P173" s="5"/>
      <c r="Q173" s="5"/>
      <c r="R173" s="6"/>
      <c r="S173" s="6"/>
      <c r="T173" s="8" t="str">
        <f aca="true">IF(AND(P173&lt;&gt;"",Q173="",K173&lt;&gt;"Denied",P173&lt;TODAY()),"Review overdue","")</f>
        <v/>
      </c>
    </row>
    <row r="174" customFormat="false" ht="15" hidden="false" customHeight="false" outlineLevel="0" collapsed="false">
      <c r="A174" s="4"/>
      <c r="B174" s="5"/>
      <c r="C174" s="6"/>
      <c r="D174" s="6"/>
      <c r="E174" s="6"/>
      <c r="F174" s="6"/>
      <c r="G174" s="4"/>
      <c r="H174" s="4"/>
      <c r="I174" s="4"/>
      <c r="J174" s="6"/>
      <c r="K174" s="6"/>
      <c r="L174" s="5"/>
      <c r="M174" s="5"/>
      <c r="N174" s="7" t="str">
        <f aca="true">IF(OR(M174="",Q174&lt;&gt;""),"",M174-TODAY())</f>
        <v/>
      </c>
      <c r="O174" s="8" t="str">
        <f aca="true">IF(A174="","",IF(K174="Denied","Denied",IF(Q174&lt;&gt;"","Closed",IF(L174="","Requested",IF(L174&gt;TODAY(),"Approved, not started",IF(M174&lt;TODAY(),"EXPIRED",IF(M174-TODAY()&lt;=30,"Expiring (30 days or less)","Active")))))))</f>
        <v/>
      </c>
      <c r="P174" s="5"/>
      <c r="Q174" s="5"/>
      <c r="R174" s="6"/>
      <c r="S174" s="6"/>
      <c r="T174" s="8" t="str">
        <f aca="true">IF(AND(P174&lt;&gt;"",Q174="",K174&lt;&gt;"Denied",P174&lt;TODAY()),"Review overdue","")</f>
        <v/>
      </c>
    </row>
    <row r="175" customFormat="false" ht="15" hidden="false" customHeight="false" outlineLevel="0" collapsed="false">
      <c r="A175" s="4"/>
      <c r="B175" s="5"/>
      <c r="C175" s="6"/>
      <c r="D175" s="6"/>
      <c r="E175" s="6"/>
      <c r="F175" s="6"/>
      <c r="G175" s="4"/>
      <c r="H175" s="4"/>
      <c r="I175" s="4"/>
      <c r="J175" s="6"/>
      <c r="K175" s="6"/>
      <c r="L175" s="5"/>
      <c r="M175" s="5"/>
      <c r="N175" s="7" t="str">
        <f aca="true">IF(OR(M175="",Q175&lt;&gt;""),"",M175-TODAY())</f>
        <v/>
      </c>
      <c r="O175" s="8" t="str">
        <f aca="true">IF(A175="","",IF(K175="Denied","Denied",IF(Q175&lt;&gt;"","Closed",IF(L175="","Requested",IF(L175&gt;TODAY(),"Approved, not started",IF(M175&lt;TODAY(),"EXPIRED",IF(M175-TODAY()&lt;=30,"Expiring (30 days or less)","Active")))))))</f>
        <v/>
      </c>
      <c r="P175" s="5"/>
      <c r="Q175" s="5"/>
      <c r="R175" s="6"/>
      <c r="S175" s="6"/>
      <c r="T175" s="8" t="str">
        <f aca="true">IF(AND(P175&lt;&gt;"",Q175="",K175&lt;&gt;"Denied",P175&lt;TODAY()),"Review overdue","")</f>
        <v/>
      </c>
    </row>
    <row r="176" customFormat="false" ht="15" hidden="false" customHeight="false" outlineLevel="0" collapsed="false">
      <c r="A176" s="4"/>
      <c r="B176" s="5"/>
      <c r="C176" s="6"/>
      <c r="D176" s="6"/>
      <c r="E176" s="6"/>
      <c r="F176" s="6"/>
      <c r="G176" s="4"/>
      <c r="H176" s="4"/>
      <c r="I176" s="4"/>
      <c r="J176" s="6"/>
      <c r="K176" s="6"/>
      <c r="L176" s="5"/>
      <c r="M176" s="5"/>
      <c r="N176" s="7" t="str">
        <f aca="true">IF(OR(M176="",Q176&lt;&gt;""),"",M176-TODAY())</f>
        <v/>
      </c>
      <c r="O176" s="8" t="str">
        <f aca="true">IF(A176="","",IF(K176="Denied","Denied",IF(Q176&lt;&gt;"","Closed",IF(L176="","Requested",IF(L176&gt;TODAY(),"Approved, not started",IF(M176&lt;TODAY(),"EXPIRED",IF(M176-TODAY()&lt;=30,"Expiring (30 days or less)","Active")))))))</f>
        <v/>
      </c>
      <c r="P176" s="5"/>
      <c r="Q176" s="5"/>
      <c r="R176" s="6"/>
      <c r="S176" s="6"/>
      <c r="T176" s="8" t="str">
        <f aca="true">IF(AND(P176&lt;&gt;"",Q176="",K176&lt;&gt;"Denied",P176&lt;TODAY()),"Review overdue","")</f>
        <v/>
      </c>
    </row>
    <row r="177" customFormat="false" ht="15" hidden="false" customHeight="false" outlineLevel="0" collapsed="false">
      <c r="A177" s="4"/>
      <c r="B177" s="5"/>
      <c r="C177" s="6"/>
      <c r="D177" s="6"/>
      <c r="E177" s="6"/>
      <c r="F177" s="6"/>
      <c r="G177" s="4"/>
      <c r="H177" s="4"/>
      <c r="I177" s="4"/>
      <c r="J177" s="6"/>
      <c r="K177" s="6"/>
      <c r="L177" s="5"/>
      <c r="M177" s="5"/>
      <c r="N177" s="7" t="str">
        <f aca="true">IF(OR(M177="",Q177&lt;&gt;""),"",M177-TODAY())</f>
        <v/>
      </c>
      <c r="O177" s="8" t="str">
        <f aca="true">IF(A177="","",IF(K177="Denied","Denied",IF(Q177&lt;&gt;"","Closed",IF(L177="","Requested",IF(L177&gt;TODAY(),"Approved, not started",IF(M177&lt;TODAY(),"EXPIRED",IF(M177-TODAY()&lt;=30,"Expiring (30 days or less)","Active")))))))</f>
        <v/>
      </c>
      <c r="P177" s="5"/>
      <c r="Q177" s="5"/>
      <c r="R177" s="6"/>
      <c r="S177" s="6"/>
      <c r="T177" s="8" t="str">
        <f aca="true">IF(AND(P177&lt;&gt;"",Q177="",K177&lt;&gt;"Denied",P177&lt;TODAY()),"Review overdue","")</f>
        <v/>
      </c>
    </row>
    <row r="178" customFormat="false" ht="15" hidden="false" customHeight="false" outlineLevel="0" collapsed="false">
      <c r="A178" s="4"/>
      <c r="B178" s="5"/>
      <c r="C178" s="6"/>
      <c r="D178" s="6"/>
      <c r="E178" s="6"/>
      <c r="F178" s="6"/>
      <c r="G178" s="4"/>
      <c r="H178" s="4"/>
      <c r="I178" s="4"/>
      <c r="J178" s="6"/>
      <c r="K178" s="6"/>
      <c r="L178" s="5"/>
      <c r="M178" s="5"/>
      <c r="N178" s="7" t="str">
        <f aca="true">IF(OR(M178="",Q178&lt;&gt;""),"",M178-TODAY())</f>
        <v/>
      </c>
      <c r="O178" s="8" t="str">
        <f aca="true">IF(A178="","",IF(K178="Denied","Denied",IF(Q178&lt;&gt;"","Closed",IF(L178="","Requested",IF(L178&gt;TODAY(),"Approved, not started",IF(M178&lt;TODAY(),"EXPIRED",IF(M178-TODAY()&lt;=30,"Expiring (30 days or less)","Active")))))))</f>
        <v/>
      </c>
      <c r="P178" s="5"/>
      <c r="Q178" s="5"/>
      <c r="R178" s="6"/>
      <c r="S178" s="6"/>
      <c r="T178" s="8" t="str">
        <f aca="true">IF(AND(P178&lt;&gt;"",Q178="",K178&lt;&gt;"Denied",P178&lt;TODAY()),"Review overdue","")</f>
        <v/>
      </c>
    </row>
    <row r="179" customFormat="false" ht="15" hidden="false" customHeight="false" outlineLevel="0" collapsed="false">
      <c r="A179" s="4"/>
      <c r="B179" s="5"/>
      <c r="C179" s="6"/>
      <c r="D179" s="6"/>
      <c r="E179" s="6"/>
      <c r="F179" s="6"/>
      <c r="G179" s="4"/>
      <c r="H179" s="4"/>
      <c r="I179" s="4"/>
      <c r="J179" s="6"/>
      <c r="K179" s="6"/>
      <c r="L179" s="5"/>
      <c r="M179" s="5"/>
      <c r="N179" s="7" t="str">
        <f aca="true">IF(OR(M179="",Q179&lt;&gt;""),"",M179-TODAY())</f>
        <v/>
      </c>
      <c r="O179" s="8" t="str">
        <f aca="true">IF(A179="","",IF(K179="Denied","Denied",IF(Q179&lt;&gt;"","Closed",IF(L179="","Requested",IF(L179&gt;TODAY(),"Approved, not started",IF(M179&lt;TODAY(),"EXPIRED",IF(M179-TODAY()&lt;=30,"Expiring (30 days or less)","Active")))))))</f>
        <v/>
      </c>
      <c r="P179" s="5"/>
      <c r="Q179" s="5"/>
      <c r="R179" s="6"/>
      <c r="S179" s="6"/>
      <c r="T179" s="8" t="str">
        <f aca="true">IF(AND(P179&lt;&gt;"",Q179="",K179&lt;&gt;"Denied",P179&lt;TODAY()),"Review overdue","")</f>
        <v/>
      </c>
    </row>
    <row r="180" customFormat="false" ht="15" hidden="false" customHeight="false" outlineLevel="0" collapsed="false">
      <c r="A180" s="4"/>
      <c r="B180" s="5"/>
      <c r="C180" s="6"/>
      <c r="D180" s="6"/>
      <c r="E180" s="6"/>
      <c r="F180" s="6"/>
      <c r="G180" s="4"/>
      <c r="H180" s="4"/>
      <c r="I180" s="4"/>
      <c r="J180" s="6"/>
      <c r="K180" s="6"/>
      <c r="L180" s="5"/>
      <c r="M180" s="5"/>
      <c r="N180" s="7" t="str">
        <f aca="true">IF(OR(M180="",Q180&lt;&gt;""),"",M180-TODAY())</f>
        <v/>
      </c>
      <c r="O180" s="8" t="str">
        <f aca="true">IF(A180="","",IF(K180="Denied","Denied",IF(Q180&lt;&gt;"","Closed",IF(L180="","Requested",IF(L180&gt;TODAY(),"Approved, not started",IF(M180&lt;TODAY(),"EXPIRED",IF(M180-TODAY()&lt;=30,"Expiring (30 days or less)","Active")))))))</f>
        <v/>
      </c>
      <c r="P180" s="5"/>
      <c r="Q180" s="5"/>
      <c r="R180" s="6"/>
      <c r="S180" s="6"/>
      <c r="T180" s="8" t="str">
        <f aca="true">IF(AND(P180&lt;&gt;"",Q180="",K180&lt;&gt;"Denied",P180&lt;TODAY()),"Review overdue","")</f>
        <v/>
      </c>
    </row>
    <row r="181" customFormat="false" ht="15" hidden="false" customHeight="false" outlineLevel="0" collapsed="false">
      <c r="A181" s="4"/>
      <c r="B181" s="5"/>
      <c r="C181" s="6"/>
      <c r="D181" s="6"/>
      <c r="E181" s="6"/>
      <c r="F181" s="6"/>
      <c r="G181" s="4"/>
      <c r="H181" s="4"/>
      <c r="I181" s="4"/>
      <c r="J181" s="6"/>
      <c r="K181" s="6"/>
      <c r="L181" s="5"/>
      <c r="M181" s="5"/>
      <c r="N181" s="7" t="str">
        <f aca="true">IF(OR(M181="",Q181&lt;&gt;""),"",M181-TODAY())</f>
        <v/>
      </c>
      <c r="O181" s="8" t="str">
        <f aca="true">IF(A181="","",IF(K181="Denied","Denied",IF(Q181&lt;&gt;"","Closed",IF(L181="","Requested",IF(L181&gt;TODAY(),"Approved, not started",IF(M181&lt;TODAY(),"EXPIRED",IF(M181-TODAY()&lt;=30,"Expiring (30 days or less)","Active")))))))</f>
        <v/>
      </c>
      <c r="P181" s="5"/>
      <c r="Q181" s="5"/>
      <c r="R181" s="6"/>
      <c r="S181" s="6"/>
      <c r="T181" s="8" t="str">
        <f aca="true">IF(AND(P181&lt;&gt;"",Q181="",K181&lt;&gt;"Denied",P181&lt;TODAY()),"Review overdue","")</f>
        <v/>
      </c>
    </row>
    <row r="182" customFormat="false" ht="15" hidden="false" customHeight="false" outlineLevel="0" collapsed="false">
      <c r="A182" s="4"/>
      <c r="B182" s="5"/>
      <c r="C182" s="6"/>
      <c r="D182" s="6"/>
      <c r="E182" s="6"/>
      <c r="F182" s="6"/>
      <c r="G182" s="4"/>
      <c r="H182" s="4"/>
      <c r="I182" s="4"/>
      <c r="J182" s="6"/>
      <c r="K182" s="6"/>
      <c r="L182" s="5"/>
      <c r="M182" s="5"/>
      <c r="N182" s="7" t="str">
        <f aca="true">IF(OR(M182="",Q182&lt;&gt;""),"",M182-TODAY())</f>
        <v/>
      </c>
      <c r="O182" s="8" t="str">
        <f aca="true">IF(A182="","",IF(K182="Denied","Denied",IF(Q182&lt;&gt;"","Closed",IF(L182="","Requested",IF(L182&gt;TODAY(),"Approved, not started",IF(M182&lt;TODAY(),"EXPIRED",IF(M182-TODAY()&lt;=30,"Expiring (30 days or less)","Active")))))))</f>
        <v/>
      </c>
      <c r="P182" s="5"/>
      <c r="Q182" s="5"/>
      <c r="R182" s="6"/>
      <c r="S182" s="6"/>
      <c r="T182" s="8" t="str">
        <f aca="true">IF(AND(P182&lt;&gt;"",Q182="",K182&lt;&gt;"Denied",P182&lt;TODAY()),"Review overdue","")</f>
        <v/>
      </c>
    </row>
    <row r="183" customFormat="false" ht="15" hidden="false" customHeight="false" outlineLevel="0" collapsed="false">
      <c r="A183" s="4"/>
      <c r="B183" s="5"/>
      <c r="C183" s="6"/>
      <c r="D183" s="6"/>
      <c r="E183" s="6"/>
      <c r="F183" s="6"/>
      <c r="G183" s="4"/>
      <c r="H183" s="4"/>
      <c r="I183" s="4"/>
      <c r="J183" s="6"/>
      <c r="K183" s="6"/>
      <c r="L183" s="5"/>
      <c r="M183" s="5"/>
      <c r="N183" s="7" t="str">
        <f aca="true">IF(OR(M183="",Q183&lt;&gt;""),"",M183-TODAY())</f>
        <v/>
      </c>
      <c r="O183" s="8" t="str">
        <f aca="true">IF(A183="","",IF(K183="Denied","Denied",IF(Q183&lt;&gt;"","Closed",IF(L183="","Requested",IF(L183&gt;TODAY(),"Approved, not started",IF(M183&lt;TODAY(),"EXPIRED",IF(M183-TODAY()&lt;=30,"Expiring (30 days or less)","Active")))))))</f>
        <v/>
      </c>
      <c r="P183" s="5"/>
      <c r="Q183" s="5"/>
      <c r="R183" s="6"/>
      <c r="S183" s="6"/>
      <c r="T183" s="8" t="str">
        <f aca="true">IF(AND(P183&lt;&gt;"",Q183="",K183&lt;&gt;"Denied",P183&lt;TODAY()),"Review overdue","")</f>
        <v/>
      </c>
    </row>
    <row r="184" customFormat="false" ht="15" hidden="false" customHeight="false" outlineLevel="0" collapsed="false">
      <c r="A184" s="4"/>
      <c r="B184" s="5"/>
      <c r="C184" s="6"/>
      <c r="D184" s="6"/>
      <c r="E184" s="6"/>
      <c r="F184" s="6"/>
      <c r="G184" s="4"/>
      <c r="H184" s="4"/>
      <c r="I184" s="4"/>
      <c r="J184" s="6"/>
      <c r="K184" s="6"/>
      <c r="L184" s="5"/>
      <c r="M184" s="5"/>
      <c r="N184" s="7" t="str">
        <f aca="true">IF(OR(M184="",Q184&lt;&gt;""),"",M184-TODAY())</f>
        <v/>
      </c>
      <c r="O184" s="8" t="str">
        <f aca="true">IF(A184="","",IF(K184="Denied","Denied",IF(Q184&lt;&gt;"","Closed",IF(L184="","Requested",IF(L184&gt;TODAY(),"Approved, not started",IF(M184&lt;TODAY(),"EXPIRED",IF(M184-TODAY()&lt;=30,"Expiring (30 days or less)","Active")))))))</f>
        <v/>
      </c>
      <c r="P184" s="5"/>
      <c r="Q184" s="5"/>
      <c r="R184" s="6"/>
      <c r="S184" s="6"/>
      <c r="T184" s="8" t="str">
        <f aca="true">IF(AND(P184&lt;&gt;"",Q184="",K184&lt;&gt;"Denied",P184&lt;TODAY()),"Review overdue","")</f>
        <v/>
      </c>
    </row>
    <row r="185" customFormat="false" ht="15" hidden="false" customHeight="false" outlineLevel="0" collapsed="false">
      <c r="A185" s="4"/>
      <c r="B185" s="5"/>
      <c r="C185" s="6"/>
      <c r="D185" s="6"/>
      <c r="E185" s="6"/>
      <c r="F185" s="6"/>
      <c r="G185" s="4"/>
      <c r="H185" s="4"/>
      <c r="I185" s="4"/>
      <c r="J185" s="6"/>
      <c r="K185" s="6"/>
      <c r="L185" s="5"/>
      <c r="M185" s="5"/>
      <c r="N185" s="7" t="str">
        <f aca="true">IF(OR(M185="",Q185&lt;&gt;""),"",M185-TODAY())</f>
        <v/>
      </c>
      <c r="O185" s="8" t="str">
        <f aca="true">IF(A185="","",IF(K185="Denied","Denied",IF(Q185&lt;&gt;"","Closed",IF(L185="","Requested",IF(L185&gt;TODAY(),"Approved, not started",IF(M185&lt;TODAY(),"EXPIRED",IF(M185-TODAY()&lt;=30,"Expiring (30 days or less)","Active")))))))</f>
        <v/>
      </c>
      <c r="P185" s="5"/>
      <c r="Q185" s="5"/>
      <c r="R185" s="6"/>
      <c r="S185" s="6"/>
      <c r="T185" s="8" t="str">
        <f aca="true">IF(AND(P185&lt;&gt;"",Q185="",K185&lt;&gt;"Denied",P185&lt;TODAY()),"Review overdue","")</f>
        <v/>
      </c>
    </row>
    <row r="186" customFormat="false" ht="15" hidden="false" customHeight="false" outlineLevel="0" collapsed="false">
      <c r="A186" s="4"/>
      <c r="B186" s="5"/>
      <c r="C186" s="6"/>
      <c r="D186" s="6"/>
      <c r="E186" s="6"/>
      <c r="F186" s="6"/>
      <c r="G186" s="4"/>
      <c r="H186" s="4"/>
      <c r="I186" s="4"/>
      <c r="J186" s="6"/>
      <c r="K186" s="6"/>
      <c r="L186" s="5"/>
      <c r="M186" s="5"/>
      <c r="N186" s="7" t="str">
        <f aca="true">IF(OR(M186="",Q186&lt;&gt;""),"",M186-TODAY())</f>
        <v/>
      </c>
      <c r="O186" s="8" t="str">
        <f aca="true">IF(A186="","",IF(K186="Denied","Denied",IF(Q186&lt;&gt;"","Closed",IF(L186="","Requested",IF(L186&gt;TODAY(),"Approved, not started",IF(M186&lt;TODAY(),"EXPIRED",IF(M186-TODAY()&lt;=30,"Expiring (30 days or less)","Active")))))))</f>
        <v/>
      </c>
      <c r="P186" s="5"/>
      <c r="Q186" s="5"/>
      <c r="R186" s="6"/>
      <c r="S186" s="6"/>
      <c r="T186" s="8" t="str">
        <f aca="true">IF(AND(P186&lt;&gt;"",Q186="",K186&lt;&gt;"Denied",P186&lt;TODAY()),"Review overdue","")</f>
        <v/>
      </c>
    </row>
    <row r="187" customFormat="false" ht="15" hidden="false" customHeight="false" outlineLevel="0" collapsed="false">
      <c r="A187" s="4"/>
      <c r="B187" s="5"/>
      <c r="C187" s="6"/>
      <c r="D187" s="6"/>
      <c r="E187" s="6"/>
      <c r="F187" s="6"/>
      <c r="G187" s="4"/>
      <c r="H187" s="4"/>
      <c r="I187" s="4"/>
      <c r="J187" s="6"/>
      <c r="K187" s="6"/>
      <c r="L187" s="5"/>
      <c r="M187" s="5"/>
      <c r="N187" s="7" t="str">
        <f aca="true">IF(OR(M187="",Q187&lt;&gt;""),"",M187-TODAY())</f>
        <v/>
      </c>
      <c r="O187" s="8" t="str">
        <f aca="true">IF(A187="","",IF(K187="Denied","Denied",IF(Q187&lt;&gt;"","Closed",IF(L187="","Requested",IF(L187&gt;TODAY(),"Approved, not started",IF(M187&lt;TODAY(),"EXPIRED",IF(M187-TODAY()&lt;=30,"Expiring (30 days or less)","Active")))))))</f>
        <v/>
      </c>
      <c r="P187" s="5"/>
      <c r="Q187" s="5"/>
      <c r="R187" s="6"/>
      <c r="S187" s="6"/>
      <c r="T187" s="8" t="str">
        <f aca="true">IF(AND(P187&lt;&gt;"",Q187="",K187&lt;&gt;"Denied",P187&lt;TODAY()),"Review overdue","")</f>
        <v/>
      </c>
    </row>
    <row r="188" customFormat="false" ht="15" hidden="false" customHeight="false" outlineLevel="0" collapsed="false">
      <c r="A188" s="4"/>
      <c r="B188" s="5"/>
      <c r="C188" s="6"/>
      <c r="D188" s="6"/>
      <c r="E188" s="6"/>
      <c r="F188" s="6"/>
      <c r="G188" s="4"/>
      <c r="H188" s="4"/>
      <c r="I188" s="4"/>
      <c r="J188" s="6"/>
      <c r="K188" s="6"/>
      <c r="L188" s="5"/>
      <c r="M188" s="5"/>
      <c r="N188" s="7" t="str">
        <f aca="true">IF(OR(M188="",Q188&lt;&gt;""),"",M188-TODAY())</f>
        <v/>
      </c>
      <c r="O188" s="8" t="str">
        <f aca="true">IF(A188="","",IF(K188="Denied","Denied",IF(Q188&lt;&gt;"","Closed",IF(L188="","Requested",IF(L188&gt;TODAY(),"Approved, not started",IF(M188&lt;TODAY(),"EXPIRED",IF(M188-TODAY()&lt;=30,"Expiring (30 days or less)","Active")))))))</f>
        <v/>
      </c>
      <c r="P188" s="5"/>
      <c r="Q188" s="5"/>
      <c r="R188" s="6"/>
      <c r="S188" s="6"/>
      <c r="T188" s="8" t="str">
        <f aca="true">IF(AND(P188&lt;&gt;"",Q188="",K188&lt;&gt;"Denied",P188&lt;TODAY()),"Review overdue","")</f>
        <v/>
      </c>
    </row>
    <row r="189" customFormat="false" ht="15" hidden="false" customHeight="false" outlineLevel="0" collapsed="false">
      <c r="A189" s="4"/>
      <c r="B189" s="5"/>
      <c r="C189" s="6"/>
      <c r="D189" s="6"/>
      <c r="E189" s="6"/>
      <c r="F189" s="6"/>
      <c r="G189" s="4"/>
      <c r="H189" s="4"/>
      <c r="I189" s="4"/>
      <c r="J189" s="6"/>
      <c r="K189" s="6"/>
      <c r="L189" s="5"/>
      <c r="M189" s="5"/>
      <c r="N189" s="7" t="str">
        <f aca="true">IF(OR(M189="",Q189&lt;&gt;""),"",M189-TODAY())</f>
        <v/>
      </c>
      <c r="O189" s="8" t="str">
        <f aca="true">IF(A189="","",IF(K189="Denied","Denied",IF(Q189&lt;&gt;"","Closed",IF(L189="","Requested",IF(L189&gt;TODAY(),"Approved, not started",IF(M189&lt;TODAY(),"EXPIRED",IF(M189-TODAY()&lt;=30,"Expiring (30 days or less)","Active")))))))</f>
        <v/>
      </c>
      <c r="P189" s="5"/>
      <c r="Q189" s="5"/>
      <c r="R189" s="6"/>
      <c r="S189" s="6"/>
      <c r="T189" s="8" t="str">
        <f aca="true">IF(AND(P189&lt;&gt;"",Q189="",K189&lt;&gt;"Denied",P189&lt;TODAY()),"Review overdue","")</f>
        <v/>
      </c>
    </row>
    <row r="190" customFormat="false" ht="15" hidden="false" customHeight="false" outlineLevel="0" collapsed="false">
      <c r="A190" s="4"/>
      <c r="B190" s="5"/>
      <c r="C190" s="6"/>
      <c r="D190" s="6"/>
      <c r="E190" s="6"/>
      <c r="F190" s="6"/>
      <c r="G190" s="4"/>
      <c r="H190" s="4"/>
      <c r="I190" s="4"/>
      <c r="J190" s="6"/>
      <c r="K190" s="6"/>
      <c r="L190" s="5"/>
      <c r="M190" s="5"/>
      <c r="N190" s="7" t="str">
        <f aca="true">IF(OR(M190="",Q190&lt;&gt;""),"",M190-TODAY())</f>
        <v/>
      </c>
      <c r="O190" s="8" t="str">
        <f aca="true">IF(A190="","",IF(K190="Denied","Denied",IF(Q190&lt;&gt;"","Closed",IF(L190="","Requested",IF(L190&gt;TODAY(),"Approved, not started",IF(M190&lt;TODAY(),"EXPIRED",IF(M190-TODAY()&lt;=30,"Expiring (30 days or less)","Active")))))))</f>
        <v/>
      </c>
      <c r="P190" s="5"/>
      <c r="Q190" s="5"/>
      <c r="R190" s="6"/>
      <c r="S190" s="6"/>
      <c r="T190" s="8" t="str">
        <f aca="true">IF(AND(P190&lt;&gt;"",Q190="",K190&lt;&gt;"Denied",P190&lt;TODAY()),"Review overdue","")</f>
        <v/>
      </c>
    </row>
    <row r="191" customFormat="false" ht="15" hidden="false" customHeight="false" outlineLevel="0" collapsed="false">
      <c r="A191" s="4"/>
      <c r="B191" s="5"/>
      <c r="C191" s="6"/>
      <c r="D191" s="6"/>
      <c r="E191" s="6"/>
      <c r="F191" s="6"/>
      <c r="G191" s="4"/>
      <c r="H191" s="4"/>
      <c r="I191" s="4"/>
      <c r="J191" s="6"/>
      <c r="K191" s="6"/>
      <c r="L191" s="5"/>
      <c r="M191" s="5"/>
      <c r="N191" s="7" t="str">
        <f aca="true">IF(OR(M191="",Q191&lt;&gt;""),"",M191-TODAY())</f>
        <v/>
      </c>
      <c r="O191" s="8" t="str">
        <f aca="true">IF(A191="","",IF(K191="Denied","Denied",IF(Q191&lt;&gt;"","Closed",IF(L191="","Requested",IF(L191&gt;TODAY(),"Approved, not started",IF(M191&lt;TODAY(),"EXPIRED",IF(M191-TODAY()&lt;=30,"Expiring (30 days or less)","Active")))))))</f>
        <v/>
      </c>
      <c r="P191" s="5"/>
      <c r="Q191" s="5"/>
      <c r="R191" s="6"/>
      <c r="S191" s="6"/>
      <c r="T191" s="8" t="str">
        <f aca="true">IF(AND(P191&lt;&gt;"",Q191="",K191&lt;&gt;"Denied",P191&lt;TODAY()),"Review overdue","")</f>
        <v/>
      </c>
    </row>
    <row r="192" customFormat="false" ht="15" hidden="false" customHeight="false" outlineLevel="0" collapsed="false">
      <c r="A192" s="4"/>
      <c r="B192" s="5"/>
      <c r="C192" s="6"/>
      <c r="D192" s="6"/>
      <c r="E192" s="6"/>
      <c r="F192" s="6"/>
      <c r="G192" s="4"/>
      <c r="H192" s="4"/>
      <c r="I192" s="4"/>
      <c r="J192" s="6"/>
      <c r="K192" s="6"/>
      <c r="L192" s="5"/>
      <c r="M192" s="5"/>
      <c r="N192" s="7" t="str">
        <f aca="true">IF(OR(M192="",Q192&lt;&gt;""),"",M192-TODAY())</f>
        <v/>
      </c>
      <c r="O192" s="8" t="str">
        <f aca="true">IF(A192="","",IF(K192="Denied","Denied",IF(Q192&lt;&gt;"","Closed",IF(L192="","Requested",IF(L192&gt;TODAY(),"Approved, not started",IF(M192&lt;TODAY(),"EXPIRED",IF(M192-TODAY()&lt;=30,"Expiring (30 days or less)","Active")))))))</f>
        <v/>
      </c>
      <c r="P192" s="5"/>
      <c r="Q192" s="5"/>
      <c r="R192" s="6"/>
      <c r="S192" s="6"/>
      <c r="T192" s="8" t="str">
        <f aca="true">IF(AND(P192&lt;&gt;"",Q192="",K192&lt;&gt;"Denied",P192&lt;TODAY()),"Review overdue","")</f>
        <v/>
      </c>
    </row>
    <row r="193" customFormat="false" ht="15" hidden="false" customHeight="false" outlineLevel="0" collapsed="false">
      <c r="A193" s="4"/>
      <c r="B193" s="5"/>
      <c r="C193" s="6"/>
      <c r="D193" s="6"/>
      <c r="E193" s="6"/>
      <c r="F193" s="6"/>
      <c r="G193" s="4"/>
      <c r="H193" s="4"/>
      <c r="I193" s="4"/>
      <c r="J193" s="6"/>
      <c r="K193" s="6"/>
      <c r="L193" s="5"/>
      <c r="M193" s="5"/>
      <c r="N193" s="7" t="str">
        <f aca="true">IF(OR(M193="",Q193&lt;&gt;""),"",M193-TODAY())</f>
        <v/>
      </c>
      <c r="O193" s="8" t="str">
        <f aca="true">IF(A193="","",IF(K193="Denied","Denied",IF(Q193&lt;&gt;"","Closed",IF(L193="","Requested",IF(L193&gt;TODAY(),"Approved, not started",IF(M193&lt;TODAY(),"EXPIRED",IF(M193-TODAY()&lt;=30,"Expiring (30 days or less)","Active")))))))</f>
        <v/>
      </c>
      <c r="P193" s="5"/>
      <c r="Q193" s="5"/>
      <c r="R193" s="6"/>
      <c r="S193" s="6"/>
      <c r="T193" s="8" t="str">
        <f aca="true">IF(AND(P193&lt;&gt;"",Q193="",K193&lt;&gt;"Denied",P193&lt;TODAY()),"Review overdue","")</f>
        <v/>
      </c>
    </row>
    <row r="194" customFormat="false" ht="15" hidden="false" customHeight="false" outlineLevel="0" collapsed="false">
      <c r="A194" s="4"/>
      <c r="B194" s="5"/>
      <c r="C194" s="6"/>
      <c r="D194" s="6"/>
      <c r="E194" s="6"/>
      <c r="F194" s="6"/>
      <c r="G194" s="4"/>
      <c r="H194" s="4"/>
      <c r="I194" s="4"/>
      <c r="J194" s="6"/>
      <c r="K194" s="6"/>
      <c r="L194" s="5"/>
      <c r="M194" s="5"/>
      <c r="N194" s="7" t="str">
        <f aca="true">IF(OR(M194="",Q194&lt;&gt;""),"",M194-TODAY())</f>
        <v/>
      </c>
      <c r="O194" s="8" t="str">
        <f aca="true">IF(A194="","",IF(K194="Denied","Denied",IF(Q194&lt;&gt;"","Closed",IF(L194="","Requested",IF(L194&gt;TODAY(),"Approved, not started",IF(M194&lt;TODAY(),"EXPIRED",IF(M194-TODAY()&lt;=30,"Expiring (30 days or less)","Active")))))))</f>
        <v/>
      </c>
      <c r="P194" s="5"/>
      <c r="Q194" s="5"/>
      <c r="R194" s="6"/>
      <c r="S194" s="6"/>
      <c r="T194" s="8" t="str">
        <f aca="true">IF(AND(P194&lt;&gt;"",Q194="",K194&lt;&gt;"Denied",P194&lt;TODAY()),"Review overdue","")</f>
        <v/>
      </c>
    </row>
    <row r="195" customFormat="false" ht="15" hidden="false" customHeight="false" outlineLevel="0" collapsed="false">
      <c r="A195" s="4"/>
      <c r="B195" s="5"/>
      <c r="C195" s="6"/>
      <c r="D195" s="6"/>
      <c r="E195" s="6"/>
      <c r="F195" s="6"/>
      <c r="G195" s="4"/>
      <c r="H195" s="4"/>
      <c r="I195" s="4"/>
      <c r="J195" s="6"/>
      <c r="K195" s="6"/>
      <c r="L195" s="5"/>
      <c r="M195" s="5"/>
      <c r="N195" s="7" t="str">
        <f aca="true">IF(OR(M195="",Q195&lt;&gt;""),"",M195-TODAY())</f>
        <v/>
      </c>
      <c r="O195" s="8" t="str">
        <f aca="true">IF(A195="","",IF(K195="Denied","Denied",IF(Q195&lt;&gt;"","Closed",IF(L195="","Requested",IF(L195&gt;TODAY(),"Approved, not started",IF(M195&lt;TODAY(),"EXPIRED",IF(M195-TODAY()&lt;=30,"Expiring (30 days or less)","Active")))))))</f>
        <v/>
      </c>
      <c r="P195" s="5"/>
      <c r="Q195" s="5"/>
      <c r="R195" s="6"/>
      <c r="S195" s="6"/>
      <c r="T195" s="8" t="str">
        <f aca="true">IF(AND(P195&lt;&gt;"",Q195="",K195&lt;&gt;"Denied",P195&lt;TODAY()),"Review overdue","")</f>
        <v/>
      </c>
    </row>
    <row r="196" customFormat="false" ht="15" hidden="false" customHeight="false" outlineLevel="0" collapsed="false">
      <c r="A196" s="4"/>
      <c r="B196" s="5"/>
      <c r="C196" s="6"/>
      <c r="D196" s="6"/>
      <c r="E196" s="6"/>
      <c r="F196" s="6"/>
      <c r="G196" s="4"/>
      <c r="H196" s="4"/>
      <c r="I196" s="4"/>
      <c r="J196" s="6"/>
      <c r="K196" s="6"/>
      <c r="L196" s="5"/>
      <c r="M196" s="5"/>
      <c r="N196" s="7" t="str">
        <f aca="true">IF(OR(M196="",Q196&lt;&gt;""),"",M196-TODAY())</f>
        <v/>
      </c>
      <c r="O196" s="8" t="str">
        <f aca="true">IF(A196="","",IF(K196="Denied","Denied",IF(Q196&lt;&gt;"","Closed",IF(L196="","Requested",IF(L196&gt;TODAY(),"Approved, not started",IF(M196&lt;TODAY(),"EXPIRED",IF(M196-TODAY()&lt;=30,"Expiring (30 days or less)","Active")))))))</f>
        <v/>
      </c>
      <c r="P196" s="5"/>
      <c r="Q196" s="5"/>
      <c r="R196" s="6"/>
      <c r="S196" s="6"/>
      <c r="T196" s="8" t="str">
        <f aca="true">IF(AND(P196&lt;&gt;"",Q196="",K196&lt;&gt;"Denied",P196&lt;TODAY()),"Review overdue","")</f>
        <v/>
      </c>
    </row>
    <row r="197" customFormat="false" ht="15" hidden="false" customHeight="false" outlineLevel="0" collapsed="false">
      <c r="A197" s="4"/>
      <c r="B197" s="5"/>
      <c r="C197" s="6"/>
      <c r="D197" s="6"/>
      <c r="E197" s="6"/>
      <c r="F197" s="6"/>
      <c r="G197" s="4"/>
      <c r="H197" s="4"/>
      <c r="I197" s="4"/>
      <c r="J197" s="6"/>
      <c r="K197" s="6"/>
      <c r="L197" s="5"/>
      <c r="M197" s="5"/>
      <c r="N197" s="7" t="str">
        <f aca="true">IF(OR(M197="",Q197&lt;&gt;""),"",M197-TODAY())</f>
        <v/>
      </c>
      <c r="O197" s="8" t="str">
        <f aca="true">IF(A197="","",IF(K197="Denied","Denied",IF(Q197&lt;&gt;"","Closed",IF(L197="","Requested",IF(L197&gt;TODAY(),"Approved, not started",IF(M197&lt;TODAY(),"EXPIRED",IF(M197-TODAY()&lt;=30,"Expiring (30 days or less)","Active")))))))</f>
        <v/>
      </c>
      <c r="P197" s="5"/>
      <c r="Q197" s="5"/>
      <c r="R197" s="6"/>
      <c r="S197" s="6"/>
      <c r="T197" s="8" t="str">
        <f aca="true">IF(AND(P197&lt;&gt;"",Q197="",K197&lt;&gt;"Denied",P197&lt;TODAY()),"Review overdue","")</f>
        <v/>
      </c>
    </row>
    <row r="198" customFormat="false" ht="15" hidden="false" customHeight="false" outlineLevel="0" collapsed="false">
      <c r="A198" s="4"/>
      <c r="B198" s="5"/>
      <c r="C198" s="6"/>
      <c r="D198" s="6"/>
      <c r="E198" s="6"/>
      <c r="F198" s="6"/>
      <c r="G198" s="4"/>
      <c r="H198" s="4"/>
      <c r="I198" s="4"/>
      <c r="J198" s="6"/>
      <c r="K198" s="6"/>
      <c r="L198" s="5"/>
      <c r="M198" s="5"/>
      <c r="N198" s="7" t="str">
        <f aca="true">IF(OR(M198="",Q198&lt;&gt;""),"",M198-TODAY())</f>
        <v/>
      </c>
      <c r="O198" s="8" t="str">
        <f aca="true">IF(A198="","",IF(K198="Denied","Denied",IF(Q198&lt;&gt;"","Closed",IF(L198="","Requested",IF(L198&gt;TODAY(),"Approved, not started",IF(M198&lt;TODAY(),"EXPIRED",IF(M198-TODAY()&lt;=30,"Expiring (30 days or less)","Active")))))))</f>
        <v/>
      </c>
      <c r="P198" s="5"/>
      <c r="Q198" s="5"/>
      <c r="R198" s="6"/>
      <c r="S198" s="6"/>
      <c r="T198" s="8" t="str">
        <f aca="true">IF(AND(P198&lt;&gt;"",Q198="",K198&lt;&gt;"Denied",P198&lt;TODAY()),"Review overdue","")</f>
        <v/>
      </c>
    </row>
    <row r="199" customFormat="false" ht="15" hidden="false" customHeight="false" outlineLevel="0" collapsed="false">
      <c r="A199" s="4"/>
      <c r="B199" s="5"/>
      <c r="C199" s="6"/>
      <c r="D199" s="6"/>
      <c r="E199" s="6"/>
      <c r="F199" s="6"/>
      <c r="G199" s="4"/>
      <c r="H199" s="4"/>
      <c r="I199" s="4"/>
      <c r="J199" s="6"/>
      <c r="K199" s="6"/>
      <c r="L199" s="5"/>
      <c r="M199" s="5"/>
      <c r="N199" s="7" t="str">
        <f aca="true">IF(OR(M199="",Q199&lt;&gt;""),"",M199-TODAY())</f>
        <v/>
      </c>
      <c r="O199" s="8" t="str">
        <f aca="true">IF(A199="","",IF(K199="Denied","Denied",IF(Q199&lt;&gt;"","Closed",IF(L199="","Requested",IF(L199&gt;TODAY(),"Approved, not started",IF(M199&lt;TODAY(),"EXPIRED",IF(M199-TODAY()&lt;=30,"Expiring (30 days or less)","Active")))))))</f>
        <v/>
      </c>
      <c r="P199" s="5"/>
      <c r="Q199" s="5"/>
      <c r="R199" s="6"/>
      <c r="S199" s="6"/>
      <c r="T199" s="8" t="str">
        <f aca="true">IF(AND(P199&lt;&gt;"",Q199="",K199&lt;&gt;"Denied",P199&lt;TODAY()),"Review overdue","")</f>
        <v/>
      </c>
    </row>
    <row r="200" customFormat="false" ht="15" hidden="false" customHeight="false" outlineLevel="0" collapsed="false">
      <c r="A200" s="4"/>
      <c r="B200" s="5"/>
      <c r="C200" s="6"/>
      <c r="D200" s="6"/>
      <c r="E200" s="6"/>
      <c r="F200" s="6"/>
      <c r="G200" s="4"/>
      <c r="H200" s="4"/>
      <c r="I200" s="4"/>
      <c r="J200" s="6"/>
      <c r="K200" s="6"/>
      <c r="L200" s="5"/>
      <c r="M200" s="5"/>
      <c r="N200" s="7" t="str">
        <f aca="true">IF(OR(M200="",Q200&lt;&gt;""),"",M200-TODAY())</f>
        <v/>
      </c>
      <c r="O200" s="8" t="str">
        <f aca="true">IF(A200="","",IF(K200="Denied","Denied",IF(Q200&lt;&gt;"","Closed",IF(L200="","Requested",IF(L200&gt;TODAY(),"Approved, not started",IF(M200&lt;TODAY(),"EXPIRED",IF(M200-TODAY()&lt;=30,"Expiring (30 days or less)","Active")))))))</f>
        <v/>
      </c>
      <c r="P200" s="5"/>
      <c r="Q200" s="5"/>
      <c r="R200" s="6"/>
      <c r="S200" s="6"/>
      <c r="T200" s="8" t="str">
        <f aca="true">IF(AND(P200&lt;&gt;"",Q200="",K200&lt;&gt;"Denied",P200&lt;TODAY()),"Review overdue","")</f>
        <v/>
      </c>
    </row>
  </sheetData>
  <mergeCells count="1">
    <mergeCell ref="A2:T2"/>
  </mergeCells>
  <conditionalFormatting sqref="O5:O200">
    <cfRule type="cellIs" priority="2" operator="equal" aboveAverage="0" equalAverage="0" bottom="0" percent="0" rank="0" text="" dxfId="0">
      <formula>"Active"</formula>
    </cfRule>
    <cfRule type="cellIs" priority="3" operator="equal" aboveAverage="0" equalAverage="0" bottom="0" percent="0" rank="0" text="" dxfId="1">
      <formula>"Expiring (30 days or less)"</formula>
    </cfRule>
    <cfRule type="cellIs" priority="4" operator="equal" aboveAverage="0" equalAverage="0" bottom="0" percent="0" rank="0" text="" dxfId="2">
      <formula>"EXPIRED"</formula>
    </cfRule>
    <cfRule type="cellIs" priority="5" operator="equal" aboveAverage="0" equalAverage="0" bottom="0" percent="0" rank="0" text="" dxfId="3">
      <formula>"Closed"</formula>
    </cfRule>
    <cfRule type="cellIs" priority="6" operator="equal" aboveAverage="0" equalAverage="0" bottom="0" percent="0" rank="0" text="" dxfId="4">
      <formula>"Approved, not started"</formula>
    </cfRule>
    <cfRule type="cellIs" priority="7" operator="equal" aboveAverage="0" equalAverage="0" bottom="0" percent="0" rank="0" text="" dxfId="3">
      <formula>"Denied"</formula>
    </cfRule>
  </conditionalFormatting>
  <conditionalFormatting sqref="T5:T200">
    <cfRule type="cellIs" priority="8" operator="equal" aboveAverage="0" equalAverage="0" bottom="0" percent="0" rank="0" text="" dxfId="5">
      <formula>"Review overdue"</formula>
    </cfRule>
  </conditionalFormatting>
  <conditionalFormatting sqref="I5:I200">
    <cfRule type="cellIs" priority="9" operator="equal" aboveAverage="0" equalAverage="0" bottom="0" percent="0" rank="0" text="" dxfId="6">
      <formula>"Low"</formula>
    </cfRule>
    <cfRule type="cellIs" priority="10" operator="equal" aboveAverage="0" equalAverage="0" bottom="0" percent="0" rank="0" text="" dxfId="7">
      <formula>"Medium"</formula>
    </cfRule>
    <cfRule type="cellIs" priority="11" operator="equal" aboveAverage="0" equalAverage="0" bottom="0" percent="0" rank="0" text="" dxfId="8">
      <formula>"High"</formula>
    </cfRule>
    <cfRule type="cellIs" priority="12" operator="equal" aboveAverage="0" equalAverage="0" bottom="0" percent="0" rank="0" text="" dxfId="9">
      <formula>"Critical"</formula>
    </cfRule>
  </conditionalFormatting>
  <dataValidations count="3">
    <dataValidation allowBlank="true" errorStyle="stop" operator="between" showDropDown="false" showErrorMessage="false" showInputMessage="false" sqref="I5:I200" type="list">
      <formula1>"Low,Medium,High,Critical"</formula1>
      <formula2>0</formula2>
    </dataValidation>
    <dataValidation allowBlank="true" errorStyle="stop" operator="between" showDropDown="false" showErrorMessage="false" showInputMessage="false" sqref="K5:K200" type="list">
      <formula1>"Approved,Approved with conditions,Denied,Escalated,Renewed"</formula1>
      <formula2>0</formula2>
    </dataValidation>
    <dataValidation allowBlank="true" errorStyle="stop" operator="between" showDropDown="false" showErrorMessage="false" showInputMessage="false" sqref="G5:H200" type="whole">
      <formula1>1</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s>
  <sheetData>
    <row r="1" customFormat="false" ht="17.35" hidden="false" customHeight="false" outlineLevel="0" collapsed="false">
      <c r="A1" s="9" t="s">
        <v>47</v>
      </c>
    </row>
    <row r="3" customFormat="false" ht="15" hidden="false" customHeight="false" outlineLevel="0" collapsed="false">
      <c r="A3" s="10" t="s">
        <v>48</v>
      </c>
      <c r="B3" s="10" t="s">
        <v>49</v>
      </c>
    </row>
    <row r="4" customFormat="false" ht="15" hidden="false" customHeight="false" outlineLevel="0" collapsed="false">
      <c r="A4" s="11" t="s">
        <v>50</v>
      </c>
      <c r="B4" s="11" t="n">
        <f aca="false">COUNTIF('Exception Registry'!$O$5:$O$200,A4)</f>
        <v>0</v>
      </c>
    </row>
    <row r="5" customFormat="false" ht="15" hidden="false" customHeight="false" outlineLevel="0" collapsed="false">
      <c r="A5" s="11" t="s">
        <v>51</v>
      </c>
      <c r="B5" s="11" t="n">
        <f aca="false">COUNTIF('Exception Registry'!$O$5:$O$200,A5)</f>
        <v>0</v>
      </c>
    </row>
    <row r="6" customFormat="false" ht="15" hidden="false" customHeight="false" outlineLevel="0" collapsed="false">
      <c r="A6" s="11" t="s">
        <v>52</v>
      </c>
      <c r="B6" s="11" t="n">
        <f aca="false">COUNTIF('Exception Registry'!$O$5:$O$200,A6)</f>
        <v>0</v>
      </c>
    </row>
    <row r="7" customFormat="false" ht="15" hidden="false" customHeight="false" outlineLevel="0" collapsed="false">
      <c r="A7" s="11" t="s">
        <v>53</v>
      </c>
      <c r="B7" s="11" t="n">
        <f aca="false">COUNTIF('Exception Registry'!$O$5:$O$200,A7)</f>
        <v>3</v>
      </c>
    </row>
    <row r="8" customFormat="false" ht="15" hidden="false" customHeight="false" outlineLevel="0" collapsed="false">
      <c r="A8" s="11" t="s">
        <v>54</v>
      </c>
      <c r="B8" s="11" t="n">
        <f aca="false">COUNTIF('Exception Registry'!$O$5:$O$200,A8)</f>
        <v>0</v>
      </c>
    </row>
    <row r="9" customFormat="false" ht="15" hidden="false" customHeight="false" outlineLevel="0" collapsed="false">
      <c r="A9" s="11" t="s">
        <v>55</v>
      </c>
      <c r="B9" s="11" t="n">
        <f aca="false">COUNTIF('Exception Registry'!$O$5:$O$200,A9)</f>
        <v>0</v>
      </c>
    </row>
    <row r="10" customFormat="false" ht="15" hidden="false" customHeight="false" outlineLevel="0" collapsed="false">
      <c r="A10" s="12" t="s">
        <v>56</v>
      </c>
      <c r="B10" s="12" t="n">
        <f aca="false">COUNTA('Exception Registry'!$A$5:$A$200)</f>
        <v>3</v>
      </c>
    </row>
    <row r="11" customFormat="false" ht="15" hidden="false" customHeight="false" outlineLevel="0" collapsed="false">
      <c r="A11" s="11" t="s">
        <v>57</v>
      </c>
      <c r="B11" s="11" t="n">
        <f aca="false">COUNTIF('Exception Registry'!$T$5:$T$200,"Review overdue")</f>
        <v>0</v>
      </c>
    </row>
    <row r="13" customFormat="false" ht="15" hidden="false" customHeight="false" outlineLevel="0" collapsed="false">
      <c r="A13" s="13" t="s">
        <v>58</v>
      </c>
    </row>
    <row r="14" customFormat="false" ht="15" hidden="false" customHeight="false" outlineLevel="0" collapsed="false">
      <c r="A14" s="10" t="s">
        <v>59</v>
      </c>
      <c r="B14" s="10" t="s">
        <v>60</v>
      </c>
    </row>
    <row r="15" customFormat="false" ht="15" hidden="false" customHeight="false" outlineLevel="0" collapsed="false">
      <c r="A15" s="11" t="s">
        <v>61</v>
      </c>
      <c r="B15" s="11" t="n">
        <f aca="false">COUNTIFS('Exception Registry'!$I$5:$I$200,A15,'Exception Registry'!$Q$5:$Q$200,"",'Exception Registry'!$K$5:$K$200,"&lt;&gt;Denied")</f>
        <v>0</v>
      </c>
    </row>
    <row r="16" customFormat="false" ht="15" hidden="false" customHeight="false" outlineLevel="0" collapsed="false">
      <c r="A16" s="11" t="s">
        <v>43</v>
      </c>
      <c r="B16" s="11" t="n">
        <f aca="false">COUNTIFS('Exception Registry'!$I$5:$I$200,A16,'Exception Registry'!$Q$5:$Q$200,"",'Exception Registry'!$K$5:$K$200,"&lt;&gt;Denied")</f>
        <v>1</v>
      </c>
    </row>
    <row r="17" customFormat="false" ht="15" hidden="false" customHeight="false" outlineLevel="0" collapsed="false">
      <c r="A17" s="11" t="s">
        <v>27</v>
      </c>
      <c r="B17" s="11" t="n">
        <f aca="false">COUNTIFS('Exception Registry'!$I$5:$I$200,A17,'Exception Registry'!$Q$5:$Q$200,"",'Exception Registry'!$K$5:$K$200,"&lt;&gt;Denied")</f>
        <v>2</v>
      </c>
    </row>
    <row r="18" customFormat="false" ht="15" hidden="false" customHeight="false" outlineLevel="0" collapsed="false">
      <c r="A18" s="11" t="s">
        <v>62</v>
      </c>
      <c r="B18" s="11" t="n">
        <f aca="false">COUNTIFS('Exception Registry'!$I$5:$I$200,A18,'Exception Registry'!$Q$5:$Q$200,"",'Exception Registry'!$K$5:$K$200,"&lt;&gt;Denied")</f>
        <v>0</v>
      </c>
    </row>
    <row r="19" customFormat="false" ht="15" hidden="false" customHeight="false" outlineLevel="0" collapsed="false">
      <c r="A19" s="13" t="s">
        <v>63</v>
      </c>
    </row>
    <row r="20" customFormat="false" ht="15" hidden="false" customHeight="false" outlineLevel="0" collapsed="false">
      <c r="A20" s="14" t="s">
        <v>64</v>
      </c>
    </row>
    <row r="21" customFormat="false" ht="15" hidden="false" customHeight="false" outlineLevel="0" collapsed="false">
      <c r="A21" s="14" t="s">
        <v>65</v>
      </c>
    </row>
    <row r="22" customFormat="false" ht="15" hidden="false" customHeight="false" outlineLevel="0" collapsed="false">
      <c r="A22" s="14" t="s">
        <v>66</v>
      </c>
    </row>
    <row r="23" customFormat="false" ht="15" hidden="false" customHeight="false" outlineLevel="0" collapsed="false">
      <c r="A23" s="14" t="s">
        <v>67</v>
      </c>
    </row>
    <row r="24" customFormat="false" ht="15" hidden="false" customHeight="false" outlineLevel="0" collapsed="false">
      <c r="A24" s="14" t="s">
        <v>68</v>
      </c>
    </row>
    <row r="25" customFormat="false" ht="15" hidden="false" customHeight="false" outlineLevel="0" collapsed="false">
      <c r="A25" s="14"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2026-10-17T14:00:58Z</dcterms:created>
  <dc:creator>openpyxl</dc:creator>
  <dc:description/>
  <dc:language>en-US</dc:language>
  <cp:lastModifiedBy/>
  <dcterms:modified xsi:type="dcterms:W3CDTF">2026-10-17T14:00:58Z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