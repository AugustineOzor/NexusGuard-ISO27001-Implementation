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PI Dashboard" sheetId="1" state="visible" r:id="rId3"/>
    <sheet name="Data Entry" sheetId="2" state="visible" r:id="rId4"/>
    <sheet name="Metric Definitions" sheetId="3" state="visible" r:id="rId5"/>
    <sheet name="Glide Path" sheetId="4" state="visible" r:id="rId6"/>
    <sheet name="Abou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<sst xmlns="http://schemas.openxmlformats.org/spreadsheetml/2006/main" count="809" uniqueCount="296">
  <si>
    <t xml:space="preserve">NexusGuard GRC KPI Dashboard</t>
  </si>
  <si>
    <t xml:space="preserve">Baseline: October 2026. Current and previous values come from the Data Entry sheet. RAG and trend are calculated by formula from the thresholds shown.</t>
  </si>
  <si>
    <t xml:space="preserve">Baseline values marked E on the Data Entry sheet are estimates to be validated in the first measurement cycle. Illustrative scenario data for portfolio use.</t>
  </si>
  <si>
    <t xml:space="preserve">Domain</t>
  </si>
  <si>
    <t xml:space="preserve">Green</t>
  </si>
  <si>
    <t xml:space="preserve">Amber</t>
  </si>
  <si>
    <t xml:space="preserve">Red</t>
  </si>
  <si>
    <t xml:space="preserve">No data</t>
  </si>
  <si>
    <t xml:space="preserve">Total</t>
  </si>
  <si>
    <t xml:space="preserve">Governance</t>
  </si>
  <si>
    <t xml:space="preserve">Risk</t>
  </si>
  <si>
    <t xml:space="preserve">Compliance</t>
  </si>
  <si>
    <t xml:space="preserve">Operational</t>
  </si>
  <si>
    <t xml:space="preserve">Metrics reporting a value (%)</t>
  </si>
  <si>
    <t xml:space="preserve">ID</t>
  </si>
  <si>
    <t xml:space="preserve">Metric</t>
  </si>
  <si>
    <t xml:space="preserve">Type</t>
  </si>
  <si>
    <t xml:space="preserve">Unit</t>
  </si>
  <si>
    <t xml:space="preserve">Better</t>
  </si>
  <si>
    <t xml:space="preserve">Baseline</t>
  </si>
  <si>
    <t xml:space="preserve">Previous</t>
  </si>
  <si>
    <t xml:space="preserve">Current</t>
  </si>
  <si>
    <t xml:space="preserve">Trend</t>
  </si>
  <si>
    <t xml:space="preserve">RAG</t>
  </si>
  <si>
    <t xml:space="preserve">12-month target</t>
  </si>
  <si>
    <t xml:space="preserve">Green at</t>
  </si>
  <si>
    <t xml:space="preserve">Amber at</t>
  </si>
  <si>
    <t xml:space="preserve">Owner</t>
  </si>
  <si>
    <t xml:space="preserve">Frequency</t>
  </si>
  <si>
    <t xml:space="preserve">G-01</t>
  </si>
  <si>
    <t xml:space="preserve">Policies reviewed on schedule</t>
  </si>
  <si>
    <t xml:space="preserve">KPI</t>
  </si>
  <si>
    <t xml:space="preserve">%</t>
  </si>
  <si>
    <t xml:space="preserve">Higher</t>
  </si>
  <si>
    <t xml:space="preserve">Head of Compliance (Michael Chen)</t>
  </si>
  <si>
    <t xml:space="preserve">Quarterly</t>
  </si>
  <si>
    <t xml:space="preserve">G-02</t>
  </si>
  <si>
    <t xml:space="preserve">Required Tier-1 policy set approved and in date</t>
  </si>
  <si>
    <t xml:space="preserve">CISO</t>
  </si>
  <si>
    <t xml:space="preserve">G-03</t>
  </si>
  <si>
    <t xml:space="preserve">Committee attendance (voting members)</t>
  </si>
  <si>
    <t xml:space="preserve">Committee Secretary (GRC Analyst), for the Chairs</t>
  </si>
  <si>
    <t xml:space="preserve">G-04</t>
  </si>
  <si>
    <t xml:space="preserve">Exception requests decided within 10 business days</t>
  </si>
  <si>
    <t xml:space="preserve">Monthly</t>
  </si>
  <si>
    <t xml:space="preserve">G-05</t>
  </si>
  <si>
    <t xml:space="preserve">Staff with a signed Acceptable Use Policy acknowledgment</t>
  </si>
  <si>
    <t xml:space="preserve">HR Director (Aisha Patel)</t>
  </si>
  <si>
    <t xml:space="preserve">G-06</t>
  </si>
  <si>
    <t xml:space="preserve">Information assets recorded with owner and classification</t>
  </si>
  <si>
    <t xml:space="preserve">CISO, with the Head of IT</t>
  </si>
  <si>
    <t xml:space="preserve">R-01</t>
  </si>
  <si>
    <t xml:space="preserve">Critical risks open</t>
  </si>
  <si>
    <t xml:space="preserve">KRI</t>
  </si>
  <si>
    <t xml:space="preserve">Count</t>
  </si>
  <si>
    <t xml:space="preserve">Lower</t>
  </si>
  <si>
    <t xml:space="preserve">CISO (Risk Committee Chair accountable)</t>
  </si>
  <si>
    <t xml:space="preserve">R-02</t>
  </si>
  <si>
    <t xml:space="preserve">High and Critical risks with an approved treatment plan</t>
  </si>
  <si>
    <t xml:space="preserve">R-03</t>
  </si>
  <si>
    <t xml:space="preserve">Mean time to treat High risks</t>
  </si>
  <si>
    <t xml:space="preserve">Days</t>
  </si>
  <si>
    <t xml:space="preserve">R-04</t>
  </si>
  <si>
    <t xml:space="preserve">High and Critical risks reviewed in the last 90 days</t>
  </si>
  <si>
    <t xml:space="preserve">R-05</t>
  </si>
  <si>
    <t xml:space="preserve">Privileged accounts without current business justification</t>
  </si>
  <si>
    <t xml:space="preserve">Head of IT</t>
  </si>
  <si>
    <t xml:space="preserve">R-06</t>
  </si>
  <si>
    <t xml:space="preserve">Critical suppliers with a current security assessment</t>
  </si>
  <si>
    <t xml:space="preserve">CISO, with the Procurement Lead</t>
  </si>
  <si>
    <t xml:space="preserve">R-07</t>
  </si>
  <si>
    <t xml:space="preserve">Confirmed breaches of PHI, card or special category data</t>
  </si>
  <si>
    <t xml:space="preserve">C-01</t>
  </si>
  <si>
    <t xml:space="preserve">ISO 27001 Annex A controls implemented and evidenced</t>
  </si>
  <si>
    <t xml:space="preserve">C-02</t>
  </si>
  <si>
    <t xml:space="preserve">Audit and assessment finding closure rate</t>
  </si>
  <si>
    <t xml:space="preserve">C-03</t>
  </si>
  <si>
    <t xml:space="preserve">Security awareness training completion</t>
  </si>
  <si>
    <t xml:space="preserve">C-04</t>
  </si>
  <si>
    <t xml:space="preserve">HIPAA Security Rule specifications implemented</t>
  </si>
  <si>
    <t xml:space="preserve">C-05</t>
  </si>
  <si>
    <t xml:space="preserve">PCI DSS v4.0 requirements in place</t>
  </si>
  <si>
    <t xml:space="preserve">C-06</t>
  </si>
  <si>
    <t xml:space="preserve">Compliance obligations with a named owner and evidence</t>
  </si>
  <si>
    <t xml:space="preserve">O-01</t>
  </si>
  <si>
    <t xml:space="preserve">Mean time to patch Critical vulnerabilities</t>
  </si>
  <si>
    <t xml:space="preserve">O-02</t>
  </si>
  <si>
    <t xml:space="preserve">MFA coverage for privileged and remote access</t>
  </si>
  <si>
    <t xml:space="preserve">O-03</t>
  </si>
  <si>
    <t xml:space="preserve">Severity 1 and 2 incidents triaged within target</t>
  </si>
  <si>
    <t xml:space="preserve">Security Operations Center Manager</t>
  </si>
  <si>
    <t xml:space="preserve">O-04</t>
  </si>
  <si>
    <t xml:space="preserve">Mean time to contain Severity 1 incidents</t>
  </si>
  <si>
    <t xml:space="preserve">Hours</t>
  </si>
  <si>
    <t xml:space="preserve">O-05</t>
  </si>
  <si>
    <t xml:space="preserve">Active accounts of former staff</t>
  </si>
  <si>
    <t xml:space="preserve">Head of IT (IAM)</t>
  </si>
  <si>
    <t xml:space="preserve">O-06</t>
  </si>
  <si>
    <t xml:space="preserve">Scheduled access reviews completed on time</t>
  </si>
  <si>
    <t xml:space="preserve">O-07</t>
  </si>
  <si>
    <t xml:space="preserve">Client-facing service availability (rolling 12 months)</t>
  </si>
  <si>
    <t xml:space="preserve">Data Entry: monthly metric values</t>
  </si>
  <si>
    <t xml:space="preserve">Enter each month's value in the next empty column, filling left to right with no gaps. Blue text is an input. Percentages as 0.95 or 95%; counts, days and hours as numbers. The dashboard reads the last two values entered. Baseline basis: K known from reviews; E estimate to validate in the first cycle; n/a no baseline yet.</t>
  </si>
  <si>
    <t xml:space="preserve">Baseline Oct-26</t>
  </si>
  <si>
    <t xml:space="preserve">Nov-26</t>
  </si>
  <si>
    <t xml:space="preserve">Dec-26</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</si>
  <si>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</si>
  <si>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</si>
  <si>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</si>
  <si>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</si>
  <si>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</si>
  <si>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</si>
  <si>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</si>
  <si>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</si>
  <si>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</si>
  <si>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</si>
  <si>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Basis</t>
  </si>
  <si>
    <t xml:space="preserve">K</t>
  </si>
  <si>
    <t xml:space="preserve">n/a</t>
  </si>
  <si>
    <t xml:space="preserve">E</t>
  </si>
  <si>
    <t xml:space="preserve">Metric Definitions</t>
  </si>
  <si>
    <t xml:space="preserve">Definition</t>
  </si>
  <si>
    <t xml:space="preserve">Formula</t>
  </si>
  <si>
    <t xml:space="preserve">Data source</t>
  </si>
  <si>
    <t xml:space="preserve">RAG thresholds</t>
  </si>
  <si>
    <t xml:space="preserve">ISP objective</t>
  </si>
  <si>
    <t xml:space="preserve">Baseline note</t>
  </si>
  <si>
    <t xml:space="preserve">Share of policies whose review was completed by the due date. Shows whether the policy framework is kept current.</t>
  </si>
  <si>
    <t xml:space="preserve">(Policies reviewed by due date / Policies due for review in the period) x 100</t>
  </si>
  <si>
    <t xml:space="preserve">Document register (policy repository)</t>
  </si>
  <si>
    <t xml:space="preserve">100%</t>
  </si>
  <si>
    <t xml:space="preserve">Green &gt;= 95%; Amber &gt;= 85%; Red &lt; 85%</t>
  </si>
  <si>
    <t xml:space="preserve">O10</t>
  </si>
  <si>
    <t xml:space="preserve">0%</t>
  </si>
  <si>
    <t xml:space="preserve">Known</t>
  </si>
  <si>
    <t xml:space="preserve">The only policy in force, IS Policy v1.0 (January 2021), has never been reviewed.</t>
  </si>
  <si>
    <t xml:space="preserve">Share of the eight required Tier-1 policies (Information Security, Acceptable Use, Access Control, Data Classification and Handling, Incident Response, Privacy, Third-Party Security, Business Continuity) that are approved and in date.</t>
  </si>
  <si>
    <t xml:space="preserve">(Approved, in-date Tier-1 policies / 8 required) x 100</t>
  </si>
  <si>
    <t xml:space="preserve">Document register</t>
  </si>
  <si>
    <t xml:space="preserve">Green &gt;= 100%; Amber &gt;= 75%; Red &lt; 75%</t>
  </si>
  <si>
    <t xml:space="preserve">Four drafts (Information Security v3.0, Acceptable Use, Access Control, Data Classification) await approval. None is yet in force.</t>
  </si>
  <si>
    <t xml:space="preserve">Attendance of voting members at ISSC, Risk Committee and Compliance Committee meetings. Shows whether governance bodies are engaged.</t>
  </si>
  <si>
    <t xml:space="preserve">(Voting member attendances / Expected attendances across the three committees) x 100</t>
  </si>
  <si>
    <t xml:space="preserve">Committee minutes and attendance register</t>
  </si>
  <si>
    <t xml:space="preserve">90%</t>
  </si>
  <si>
    <t xml:space="preserve">Green &gt;= 85%; Amber &gt;= 75%; Red &lt; 75%</t>
  </si>
  <si>
    <t xml:space="preserve">None</t>
  </si>
  <si>
    <t xml:space="preserve">No baseline. The committees now have charters, and the first ISSC meeting is next month.</t>
  </si>
  <si>
    <t xml:space="preserve">Speed and discipline of the policy exception process. Also report any exception past its expiry date, which shall be zero.</t>
  </si>
  <si>
    <t xml:space="preserve">(Exception requests decided within 10 business days / Requests received in the period) x 100</t>
  </si>
  <si>
    <t xml:space="preserve">Exception register and ITSM</t>
  </si>
  <si>
    <t xml:space="preserve">95%</t>
  </si>
  <si>
    <t xml:space="preserve">Three USB requests (USB-2026-001 to 003) were all evaluated the same day. The register is informal, so volumes are small.</t>
  </si>
  <si>
    <t xml:space="preserve">Share of employees and contractors who have signed the current Acceptable Use Policy. This is the legal basis for disciplinary action.</t>
  </si>
  <si>
    <t xml:space="preserve">(Staff and contractors with a signed current AUP / Total staff and contractors) x 100</t>
  </si>
  <si>
    <t xml:space="preserve">HR system and LMS</t>
  </si>
  <si>
    <t xml:space="preserve">Green &gt;= 98%; Amber &gt;= 90%; Red &lt; 90%</t>
  </si>
  <si>
    <t xml:space="preserve">O7</t>
  </si>
  <si>
    <t xml:space="preserve">The AUP is not yet issued. The 2019 generic IT agreement does not cover cloud services, personal devices or remote work.</t>
  </si>
  <si>
    <t xml:space="preserve">Coverage of the Information Asset Register against the estimated asset population, including PayStream Analytics.</t>
  </si>
  <si>
    <t xml:space="preserve">(Assets in the IAR with owner and classification / Estimated total asset population) x 100</t>
  </si>
  <si>
    <t xml:space="preserve">Information Asset Register, discovery scans and CMDB</t>
  </si>
  <si>
    <t xml:space="preserve">Green &gt;= 95%; Amber &gt;= 80%; Red &lt; 80%</t>
  </si>
  <si>
    <t xml:space="preserve">O1</t>
  </si>
  <si>
    <t xml:space="preserve">58%</t>
  </si>
  <si>
    <t xml:space="preserve">Estimate</t>
  </si>
  <si>
    <t xml:space="preserve">45 assets are recorded. The population is estimated at 77 or more, because 40+ PayStream assets are expected and 8 are recorded.</t>
  </si>
  <si>
    <t xml:space="preserve">Number of open risks rated Critical (score 17 to 25 on the 5 x 5 scale). Shows exposure to the most serious risks.</t>
  </si>
  <si>
    <t xml:space="preserve">Count of open risks rated Critical in the risk register at period end</t>
  </si>
  <si>
    <t xml:space="preserve">Risk register</t>
  </si>
  <si>
    <t xml:space="preserve">0</t>
  </si>
  <si>
    <t xml:space="preserve">Green &lt;= 0; Amber &lt;= 2; Red &gt; 2</t>
  </si>
  <si>
    <t xml:space="preserve">3</t>
  </si>
  <si>
    <t xml:space="preserve">Three known issues are rated Critical: excess privileged access, active accounts of former PayStream staff, and client data sent to a personal account.</t>
  </si>
  <si>
    <t xml:space="preserve">Share of open High and Critical risks that have an approved treatment plan with an owner and date.</t>
  </si>
  <si>
    <t xml:space="preserve">(High and Critical risks with an approved plan / All open High and Critical risks) x 100</t>
  </si>
  <si>
    <t xml:space="preserve">Green &gt;= 100%; Amber &gt;= 85%; Red &lt; 85%</t>
  </si>
  <si>
    <t xml:space="preserve">There was no formal risk register or treatment plans. The starting point is the 27 High-risk assets in the IAR.</t>
  </si>
  <si>
    <t xml:space="preserve">Average time from a risk being rated High to its treatment being completed or formally accepted.</t>
  </si>
  <si>
    <t xml:space="preserve">Average of (treatment completed or accepted date minus date rated High) for High risks closed in the period</t>
  </si>
  <si>
    <t xml:space="preserve">Risk register and ITSM</t>
  </si>
  <si>
    <t xml:space="preserve">30 days</t>
  </si>
  <si>
    <t xml:space="preserve">Green &lt;= 30 days; Amber &lt;= 60 days; Red &gt; 60 days</t>
  </si>
  <si>
    <t xml:space="preserve">O5</t>
  </si>
  <si>
    <t xml:space="preserve">90 days</t>
  </si>
  <si>
    <t xml:space="preserve">Estimated from the PayStream accounts, which stayed active for about three months after the acquisition.</t>
  </si>
  <si>
    <t xml:space="preserve">Currency of the risk register for the risks that matter most.</t>
  </si>
  <si>
    <t xml:space="preserve">(High and Critical risks reviewed within 90 days / All open High and Critical risks) x 100</t>
  </si>
  <si>
    <t xml:space="preserve">There was no register review process before the Risk Committee charter.</t>
  </si>
  <si>
    <t xml:space="preserve">Privileged accounts that fail recertification because the holder no longer needs the access.</t>
  </si>
  <si>
    <t xml:space="preserve">Count of privileged accounts with no current justification at period end, from the privileged access register and quarterly review</t>
  </si>
  <si>
    <t xml:space="preserve">IAM and PAM reports; access review records</t>
  </si>
  <si>
    <t xml:space="preserve">Green &lt;= 0; Amber &lt;= 5; Red &gt; 5</t>
  </si>
  <si>
    <t xml:space="preserve">O6</t>
  </si>
  <si>
    <t xml:space="preserve">42</t>
  </si>
  <si>
    <t xml:space="preserve">The internal review found 42 employees with privileged access they no longer need.</t>
  </si>
  <si>
    <t xml:space="preserve">Share of critical suppliers assessed in the last 12 months.</t>
  </si>
  <si>
    <t xml:space="preserve">(Critical suppliers assessed in the last 12 months / Critical suppliers) x 100</t>
  </si>
  <si>
    <t xml:space="preserve">Third-party register</t>
  </si>
  <si>
    <t xml:space="preserve">O9</t>
  </si>
  <si>
    <t xml:space="preserve">No supplier security assessments are on record.</t>
  </si>
  <si>
    <t xml:space="preserve">Number of confirmed breaches of PHI, payment card data or special category personal data caused by a control failure. The outcome measure that shows whether the program is protecting client data.</t>
  </si>
  <si>
    <t xml:space="preserve">Count of confirmed breaches of regulated data in the period, from the incident register</t>
  </si>
  <si>
    <t xml:space="preserve">Incident register (ITSM) and DPO breach log</t>
  </si>
  <si>
    <t xml:space="preserve">Green &lt;= 0; Amber &lt;= 0; Red &gt; 0</t>
  </si>
  <si>
    <t xml:space="preserve">1</t>
  </si>
  <si>
    <t xml:space="preserve">One case of confidential client data sent to a personal account is being assessed. It is counted here until confirmed otherwise.</t>
  </si>
  <si>
    <t xml:space="preserve">Share of applicable Annex A controls in the Statement of Applicability that are implemented and evidenced.</t>
  </si>
  <si>
    <t xml:space="preserve">(Applicable Annex A controls implemented with evidence / Applicable controls in the SoA) x 100</t>
  </si>
  <si>
    <t xml:space="preserve">Statement of Applicability and control testing</t>
  </si>
  <si>
    <t xml:space="preserve">Green &gt;= 90%; Amber &gt;= 75%; Red &lt; 75%</t>
  </si>
  <si>
    <t xml:space="preserve">O4</t>
  </si>
  <si>
    <t xml:space="preserve">78%</t>
  </si>
  <si>
    <t xml:space="preserve">Estimated at about 73 of 93 controls. NexusGuard is certified, but had no asset register (A.5.9) or classification scheme (A.5.12).</t>
  </si>
  <si>
    <t xml:space="preserve">Share of audit and assessment findings closed by their due date.</t>
  </si>
  <si>
    <t xml:space="preserve">(Findings closed by due date / Findings due in the period) x 100</t>
  </si>
  <si>
    <t xml:space="preserve">Findings register</t>
  </si>
  <si>
    <t xml:space="preserve">25%</t>
  </si>
  <si>
    <t xml:space="preserve">One of four known findings is closed (the asset register observation). Privileged access, former-staff accounts and the missing JML process remain open.</t>
  </si>
  <si>
    <t xml:space="preserve">Share of staff who completed assigned annual security awareness training.</t>
  </si>
  <si>
    <t xml:space="preserve">(Staff completing assigned annual training / Staff assigned) x 100</t>
  </si>
  <si>
    <t xml:space="preserve">Learning management system</t>
  </si>
  <si>
    <t xml:space="preserve">98%</t>
  </si>
  <si>
    <t xml:space="preserve">92%</t>
  </si>
  <si>
    <t xml:space="preserve">Estimated. Only generic annual training exists, and there is no role-based training for PHI, card data or privileged users.</t>
  </si>
  <si>
    <t xml:space="preserve">Share of applicable HIPAA Security Rule specifications (required and addressable) implemented and evidenced. Needed before the first HIPAA client goes live.</t>
  </si>
  <si>
    <t xml:space="preserve">(Specifications implemented and evidenced / Applicable specifications) x 100</t>
  </si>
  <si>
    <t xml:space="preserve">HIPAA risk analysis and control assessment</t>
  </si>
  <si>
    <t xml:space="preserve">60%</t>
  </si>
  <si>
    <t xml:space="preserve">Estimated pending the HIPAA gap assessment that is a go-live condition.</t>
  </si>
  <si>
    <t xml:space="preserve">Share of applicable PCI DSS v4.0 requirements in place, including the PayStream cardholder data environment.</t>
  </si>
  <si>
    <t xml:space="preserve">(Applicable requirements in place / Applicable requirements) x 100</t>
  </si>
  <si>
    <t xml:space="preserve">PCI gap assessment and SAQ or ROC evidence</t>
  </si>
  <si>
    <t xml:space="preserve">65%</t>
  </si>
  <si>
    <t xml:space="preserve">Estimated. The PayStream environment has not yet been assessed against NexusGuard baselines.</t>
  </si>
  <si>
    <t xml:space="preserve">Coverage of the compliance obligations register: each obligation has an owner and current evidence.</t>
  </si>
  <si>
    <t xml:space="preserve">(Obligations with owner and current evidence / Obligations in the register) x 100</t>
  </si>
  <si>
    <t xml:space="preserve">Compliance obligations register</t>
  </si>
  <si>
    <t xml:space="preserve">The register is created under the Compliance Committee charter. None existed before.</t>
  </si>
  <si>
    <t xml:space="preserve">Average days to remediate Critical vulnerabilities after detection.</t>
  </si>
  <si>
    <t xml:space="preserve">Average of (remediation date minus detection date) for Critical vulnerabilities closed in the period</t>
  </si>
  <si>
    <t xml:space="preserve">Vulnerability scanner and ITSM</t>
  </si>
  <si>
    <t xml:space="preserve">7 days</t>
  </si>
  <si>
    <t xml:space="preserve">Green &lt;= 7 days; Amber &lt;= 14 days; Red &gt; 14 days</t>
  </si>
  <si>
    <t xml:space="preserve">12 days</t>
  </si>
  <si>
    <t xml:space="preserve">Estimated from CTO spreadsheets. It shall be validated against scanner data in the first cycle.</t>
  </si>
  <si>
    <t xml:space="preserve">Share of privileged and remote-access accounts protected by MFA.</t>
  </si>
  <si>
    <t xml:space="preserve">(Privileged and remote-access accounts protected by MFA / All such accounts) x 100</t>
  </si>
  <si>
    <t xml:space="preserve">Entra ID, PAM and VPN or ZTNA reports</t>
  </si>
  <si>
    <t xml:space="preserve">Green &gt;= 99%; Amber &gt;= 90%; Red &lt; 90%</t>
  </si>
  <si>
    <t xml:space="preserve">85%</t>
  </si>
  <si>
    <t xml:space="preserve">Estimated. The Access Control Policy now mandates MFA for all such access.</t>
  </si>
  <si>
    <t xml:space="preserve">Share of Severity 1 incidents triaged within 1 hour and Severity 2 within 2 hours.</t>
  </si>
  <si>
    <t xml:space="preserve">(Severity 1 triaged in 1 hour and Severity 2 in 2 hours / Severity 1 and 2 incidents) x 100</t>
  </si>
  <si>
    <t xml:space="preserve">ITSM and SIEM incident records</t>
  </si>
  <si>
    <t xml:space="preserve">O8</t>
  </si>
  <si>
    <t xml:space="preserve">50%</t>
  </si>
  <si>
    <t xml:space="preserve">Estimated. There was no formal severity scale before the Information Security Policy v3.0.</t>
  </si>
  <si>
    <t xml:space="preserve">Average hours from declaring a Severity 1 incident to containing it.</t>
  </si>
  <si>
    <t xml:space="preserve">Average of (containment time minus declaration time) for Severity 1 incidents closed in the period</t>
  </si>
  <si>
    <t xml:space="preserve">ITSM incident records</t>
  </si>
  <si>
    <t xml:space="preserve">4 hours</t>
  </si>
  <si>
    <t xml:space="preserve">Green &lt;= 4 hours; Amber &lt;= 8 hours; Red &gt; 8 hours</t>
  </si>
  <si>
    <t xml:space="preserve">16 hours</t>
  </si>
  <si>
    <t xml:space="preserve">Estimated from past incidents, including the misuse cases reported by HR.</t>
  </si>
  <si>
    <t xml:space="preserve">Accounts that are enabled but have no matching HR, contractor or vendor record, found by the monthly reconciliation.</t>
  </si>
  <si>
    <t xml:space="preserve">Count of enabled accounts with no current HR or contractor record at month end, across all identity stores</t>
  </si>
  <si>
    <t xml:space="preserve">IAM reconciliation (AD, Entra ID, AWS IAM, SaaS, PayStream directories)</t>
  </si>
  <si>
    <t xml:space="preserve">8</t>
  </si>
  <si>
    <t xml:space="preserve">Eight former PayStream employees still had active accounts three months after the acquisition.</t>
  </si>
  <si>
    <t xml:space="preserve">Share of scheduled access reviews completed within 15 business days of issue.</t>
  </si>
  <si>
    <t xml:space="preserve">(Reviews completed within 15 business days / Reviews due) x 100</t>
  </si>
  <si>
    <t xml:space="preserve">IAM access review reports</t>
  </si>
  <si>
    <t xml:space="preserve">No access reviews were performed before the Access Control Policy.</t>
  </si>
  <si>
    <t xml:space="preserve">Availability of client-facing services, including the EHR-related platforms, over the last 12 months.</t>
  </si>
  <si>
    <t xml:space="preserve">((Total service minutes - Unplanned downtime minutes) / Total service minutes) x 100</t>
  </si>
  <si>
    <t xml:space="preserve">Monitoring platform (Datadog) and incident records</t>
  </si>
  <si>
    <t xml:space="preserve">99.9%</t>
  </si>
  <si>
    <t xml:space="preserve">Green &gt;= 99.9%; Amber &gt;= 99.5%; Red &lt; 99.5%</t>
  </si>
  <si>
    <t xml:space="preserve">O2</t>
  </si>
  <si>
    <t xml:space="preserve">99.6%</t>
  </si>
  <si>
    <t xml:space="preserve">Estimated from monitoring. It shall be validated against recorded downtime in the first cycle.</t>
  </si>
  <si>
    <t xml:space="preserve">12-Month Glide Path</t>
  </si>
  <si>
    <t xml:space="preserve">Planned targets from the October 2026 baseline. The 12-month column equals the target on the dashboard.</t>
  </si>
  <si>
    <t xml:space="preserve">Baseline (Oct-26)</t>
  </si>
  <si>
    <t xml:space="preserve">3 months (Jan-27)</t>
  </si>
  <si>
    <t xml:space="preserve">6 months (Apr-27)</t>
  </si>
  <si>
    <t xml:space="preserve">12 months (Oct-27)</t>
  </si>
  <si>
    <t xml:space="preserve">About this workbook</t>
  </si>
  <si>
    <t xml:space="preserve">Purpose: answers the CEO's question "How will we know if our security program is actually working?" with 26 metrics across Governance, Risk, Compliance and Operations.</t>
  </si>
  <si>
    <t xml:space="preserve">Sheets: KPI Dashboard (summary, RAG, trend); Data Entry (monthly inputs); Metric Definitions (formula, source, owner, thresholds); Glide Path (3, 6 and 12-month targets).</t>
  </si>
  <si>
    <t xml:space="preserve">RAG rule: where higher is better, Green if the value is at or above the Green threshold, Amber if at or above the Amber threshold, otherwise Red. Where lower is better the tests are reversed. No data is shown until a value is entered.</t>
  </si>
  <si>
    <t xml:space="preserve">Trend: compares the latest value with the one before it and takes direction into account, so a falling count of open risks shows as Improving. The first reading shows Baseline.</t>
  </si>
  <si>
    <t xml:space="preserve">Update routine: IAM, SOC, Compliance and HR owners supply values by the 5th business day of each month. The GRC Analyst enters them, checks them against source reports, and issues the Monthly ISSC Report 3 business days before the ISSC meeting.</t>
  </si>
  <si>
    <t xml:space="preserve">Baseline basis: K = known from the internal review, audits or documents; E = estimate from CTO spreadsheets or professional judgment, to be validated in the first cycle; none = no baseline yet.</t>
  </si>
  <si>
    <t xml:space="preserve">Data note: NexusGuard, PayStream Analytics and all figures are fictional and created for portfolio use. Estimated baselines are illustrative.</t>
  </si>
</sst>
</file>

<file path=xl/styles.xml><?xml version="1.0" encoding="utf-8"?>
<styleSheet xmlns="http://schemas.openxmlformats.org/spreadsheetml/2006/main">
  <numFmts count="5">
    <numFmt numFmtId="164" formatCode="General"/>
    <numFmt numFmtId="165" formatCode="General"/>
    <numFmt numFmtId="166" formatCode="0%"/>
    <numFmt numFmtId="167" formatCode="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6"/>
      <color rgb="FF1B4F72"/>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b val="true"/>
      <sz val="14"/>
      <name val="Arial"/>
      <family val="0"/>
      <charset val="1"/>
    </font>
  </fonts>
  <fills count="8">
    <fill>
      <patternFill patternType="none"/>
    </fill>
    <fill>
      <patternFill patternType="gray125"/>
    </fill>
    <fill>
      <patternFill patternType="solid">
        <fgColor rgb="FF1B4F72"/>
        <bgColor rgb="FF1E5631"/>
      </patternFill>
    </fill>
    <fill>
      <patternFill patternType="solid">
        <fgColor rgb="FF2E8B6A"/>
        <bgColor rgb="FF008080"/>
      </patternFill>
    </fill>
    <fill>
      <patternFill patternType="solid">
        <fgColor rgb="FFE67E22"/>
        <bgColor rgb="FFFF9900"/>
      </patternFill>
    </fill>
    <fill>
      <patternFill patternType="solid">
        <fgColor rgb="FFC0392B"/>
        <bgColor rgb="FF993366"/>
      </patternFill>
    </fill>
    <fill>
      <patternFill patternType="solid">
        <fgColor rgb="FF7F7F7F"/>
        <bgColor rgb="FF969696"/>
      </patternFill>
    </fill>
    <fill>
      <patternFill patternType="solid">
        <fgColor rgb="FFFFF9E5"/>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6" fontId="9" fillId="7"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7" fontId="9" fillId="7" borderId="1" xfId="0" applyFont="true" applyBorder="true" applyAlignment="true" applyProtection="false">
      <alignment horizontal="center" vertical="bottom" textRotation="0" wrapText="false" indent="0" shrinkToFit="false"/>
      <protection locked="true" hidden="false"/>
    </xf>
    <xf numFmtId="168" fontId="9" fillId="0" borderId="1" xfId="0" applyFont="true" applyBorder="true" applyAlignment="true" applyProtection="false">
      <alignment horizontal="center" vertical="bottom" textRotation="0" wrapText="false" indent="0" shrinkToFit="false"/>
      <protection locked="true" hidden="false"/>
    </xf>
    <xf numFmtId="168" fontId="9" fillId="7"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Arial"/>
        <charset val="1"/>
        <family val="0"/>
        <b val="1"/>
        <color rgb="FF1E5631"/>
      </font>
      <fill>
        <patternFill>
          <bgColor rgb="FFC6E0B4"/>
        </patternFill>
      </fill>
    </dxf>
    <dxf>
      <font>
        <name val="Arial"/>
        <charset val="1"/>
        <family val="0"/>
        <b val="1"/>
        <color rgb="FF7F6000"/>
      </font>
      <fill>
        <patternFill>
          <bgColor rgb="FFFFE699"/>
        </patternFill>
      </fill>
    </dxf>
    <dxf>
      <font>
        <name val="Arial"/>
        <charset val="1"/>
        <family val="0"/>
        <b val="1"/>
        <color rgb="FF8B1A10"/>
      </font>
      <fill>
        <patternFill>
          <bgColor rgb="FFF4B6B0"/>
        </patternFill>
      </fill>
    </dxf>
    <dxf>
      <font>
        <name val="Arial"/>
        <charset val="1"/>
        <family val="0"/>
        <b val="1"/>
        <color rgb="FF404040"/>
      </font>
      <fill>
        <patternFill>
          <bgColor rgb="FFD9D9D9"/>
        </patternFill>
      </fill>
    </dxf>
    <dxf>
      <font>
        <name val="Arial"/>
        <charset val="1"/>
        <family val="0"/>
        <b val="1"/>
        <color rgb="FF1E5631"/>
      </font>
    </dxf>
    <dxf>
      <font>
        <name val="Arial"/>
        <charset val="1"/>
        <family val="0"/>
        <b val="1"/>
        <color rgb="FF8B1A1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7F7F7F"/>
      <rgbColor rgb="FF9999FF"/>
      <rgbColor rgb="FFC0392B"/>
      <rgbColor rgb="FFFFF9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6B0"/>
      <rgbColor rgb="FF3366FF"/>
      <rgbColor rgb="FF33CCCC"/>
      <rgbColor rgb="FF99CC00"/>
      <rgbColor rgb="FFFFCC00"/>
      <rgbColor rgb="FFFF9900"/>
      <rgbColor rgb="FFE67E22"/>
      <rgbColor rgb="FF595959"/>
      <rgbColor rgb="FF969696"/>
      <rgbColor rgb="FF1B4F72"/>
      <rgbColor rgb="FF2E8B6A"/>
      <rgbColor rgb="FF003300"/>
      <rgbColor rgb="FF1E5631"/>
      <rgbColor rgb="FF8B1A1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46"/>
    <col collapsed="false" customWidth="true" hidden="false" outlineLevel="0" max="4" min="4" style="0" width="7"/>
    <col collapsed="false" customWidth="true" hidden="false" outlineLevel="0" max="5" min="5" style="0" width="8"/>
    <col collapsed="false" customWidth="true" hidden="false" outlineLevel="0" max="6" min="6" style="0" width="9"/>
    <col collapsed="false" customWidth="true" hidden="false" outlineLevel="0" max="9" min="7" style="0" width="10"/>
    <col collapsed="false" customWidth="true" hidden="false" outlineLevel="0" max="10" min="10" style="0" width="14"/>
    <col collapsed="false" customWidth="true" hidden="false" outlineLevel="0" max="11" min="11" style="0" width="10"/>
    <col collapsed="false" customWidth="true" hidden="false" outlineLevel="0" max="12" min="12" style="0" width="12"/>
    <col collapsed="false" customWidth="true" hidden="false" outlineLevel="0" max="14" min="13" style="0" width="10"/>
    <col collapsed="false" customWidth="true" hidden="false" outlineLevel="0" max="15" min="15" style="0" width="30"/>
    <col collapsed="false" customWidth="true" hidden="false" outlineLevel="0" max="16" min="16" style="0" width="11"/>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C5" s="3" t="s">
        <v>3</v>
      </c>
      <c r="D5" s="4" t="s">
        <v>4</v>
      </c>
      <c r="E5" s="5" t="s">
        <v>5</v>
      </c>
      <c r="F5" s="6" t="s">
        <v>6</v>
      </c>
      <c r="G5" s="7" t="s">
        <v>7</v>
      </c>
      <c r="H5" s="8" t="s">
        <v>8</v>
      </c>
    </row>
    <row r="6" customFormat="false" ht="15" hidden="false" customHeight="false" outlineLevel="0" collapsed="false">
      <c r="C6" s="9" t="s">
        <v>9</v>
      </c>
      <c r="D6" s="10" t="n">
        <f aca="false">COUNTIFS($B$14:$B$39,$C6,$K$14:$K$39,"Green")</f>
        <v>1</v>
      </c>
      <c r="E6" s="10" t="n">
        <f aca="false">COUNTIFS($B$14:$B$39,$C6,$K$14:$K$39,"Amber")</f>
        <v>0</v>
      </c>
      <c r="F6" s="10" t="n">
        <f aca="false">COUNTIFS($B$14:$B$39,$C6,$K$14:$K$39,"Red")</f>
        <v>4</v>
      </c>
      <c r="G6" s="10" t="n">
        <f aca="false">COUNTIFS($B$14:$B$39,$C6,$K$14:$K$39,"No data")</f>
        <v>1</v>
      </c>
      <c r="H6" s="10" t="n">
        <f aca="false">SUM(D6:G6)</f>
        <v>6</v>
      </c>
    </row>
    <row r="7" customFormat="false" ht="15" hidden="false" customHeight="false" outlineLevel="0" collapsed="false">
      <c r="C7" s="9" t="s">
        <v>10</v>
      </c>
      <c r="D7" s="10" t="n">
        <f aca="false">COUNTIFS($B$14:$B$39,$C7,$K$14:$K$39,"Green")</f>
        <v>0</v>
      </c>
      <c r="E7" s="10" t="n">
        <f aca="false">COUNTIFS($B$14:$B$39,$C7,$K$14:$K$39,"Amber")</f>
        <v>0</v>
      </c>
      <c r="F7" s="10" t="n">
        <f aca="false">COUNTIFS($B$14:$B$39,$C7,$K$14:$K$39,"Red")</f>
        <v>7</v>
      </c>
      <c r="G7" s="10" t="n">
        <f aca="false">COUNTIFS($B$14:$B$39,$C7,$K$14:$K$39,"No data")</f>
        <v>0</v>
      </c>
      <c r="H7" s="10" t="n">
        <f aca="false">SUM(D7:G7)</f>
        <v>7</v>
      </c>
    </row>
    <row r="8" customFormat="false" ht="15" hidden="false" customHeight="false" outlineLevel="0" collapsed="false">
      <c r="C8" s="9" t="s">
        <v>11</v>
      </c>
      <c r="D8" s="10" t="n">
        <f aca="false">COUNTIFS($B$14:$B$39,$C8,$K$14:$K$39,"Green")</f>
        <v>0</v>
      </c>
      <c r="E8" s="10" t="n">
        <f aca="false">COUNTIFS($B$14:$B$39,$C8,$K$14:$K$39,"Amber")</f>
        <v>2</v>
      </c>
      <c r="F8" s="10" t="n">
        <f aca="false">COUNTIFS($B$14:$B$39,$C8,$K$14:$K$39,"Red")</f>
        <v>4</v>
      </c>
      <c r="G8" s="10" t="n">
        <f aca="false">COUNTIFS($B$14:$B$39,$C8,$K$14:$K$39,"No data")</f>
        <v>0</v>
      </c>
      <c r="H8" s="10" t="n">
        <f aca="false">SUM(D8:G8)</f>
        <v>6</v>
      </c>
    </row>
    <row r="9" customFormat="false" ht="15" hidden="false" customHeight="false" outlineLevel="0" collapsed="false">
      <c r="C9" s="9" t="s">
        <v>12</v>
      </c>
      <c r="D9" s="10" t="n">
        <f aca="false">COUNTIFS($B$14:$B$39,$C9,$K$14:$K$39,"Green")</f>
        <v>0</v>
      </c>
      <c r="E9" s="10" t="n">
        <f aca="false">COUNTIFS($B$14:$B$39,$C9,$K$14:$K$39,"Amber")</f>
        <v>2</v>
      </c>
      <c r="F9" s="10" t="n">
        <f aca="false">COUNTIFS($B$14:$B$39,$C9,$K$14:$K$39,"Red")</f>
        <v>5</v>
      </c>
      <c r="G9" s="10" t="n">
        <f aca="false">COUNTIFS($B$14:$B$39,$C9,$K$14:$K$39,"No data")</f>
        <v>0</v>
      </c>
      <c r="H9" s="10" t="n">
        <f aca="false">SUM(D9:G9)</f>
        <v>7</v>
      </c>
    </row>
    <row r="10" customFormat="false" ht="15" hidden="false" customHeight="false" outlineLevel="0" collapsed="false">
      <c r="C10" s="9" t="s">
        <v>8</v>
      </c>
      <c r="D10" s="11" t="n">
        <f aca="false">SUM(D6:D9)</f>
        <v>1</v>
      </c>
      <c r="E10" s="11" t="n">
        <f aca="false">SUM(E6:E9)</f>
        <v>4</v>
      </c>
      <c r="F10" s="11" t="n">
        <f aca="false">SUM(F6:F9)</f>
        <v>20</v>
      </c>
      <c r="G10" s="11" t="n">
        <f aca="false">SUM(G6:G9)</f>
        <v>1</v>
      </c>
      <c r="H10" s="11" t="n">
        <f aca="false">SUM(H6:H9)</f>
        <v>26</v>
      </c>
    </row>
    <row r="11" customFormat="false" ht="15" hidden="false" customHeight="false" outlineLevel="0" collapsed="false">
      <c r="C11" s="12" t="s">
        <v>13</v>
      </c>
      <c r="D11" s="13" t="n">
        <f aca="false">IF(H10=0,0,(H10-G10)/H10)</f>
        <v>0.961538461538462</v>
      </c>
    </row>
    <row r="13" customFormat="false" ht="30" hidden="false" customHeight="true" outlineLevel="0" collapsed="false">
      <c r="A13" s="14" t="s">
        <v>14</v>
      </c>
      <c r="B13" s="14" t="s">
        <v>3</v>
      </c>
      <c r="C13" s="14" t="s">
        <v>15</v>
      </c>
      <c r="D13" s="14" t="s">
        <v>16</v>
      </c>
      <c r="E13" s="14" t="s">
        <v>17</v>
      </c>
      <c r="F13" s="14" t="s">
        <v>18</v>
      </c>
      <c r="G13" s="14" t="s">
        <v>19</v>
      </c>
      <c r="H13" s="14" t="s">
        <v>20</v>
      </c>
      <c r="I13" s="14" t="s">
        <v>21</v>
      </c>
      <c r="J13" s="14" t="s">
        <v>22</v>
      </c>
      <c r="K13" s="14" t="s">
        <v>23</v>
      </c>
      <c r="L13" s="14" t="s">
        <v>24</v>
      </c>
      <c r="M13" s="14" t="s">
        <v>25</v>
      </c>
      <c r="N13" s="14" t="s">
        <v>26</v>
      </c>
      <c r="O13" s="14" t="s">
        <v>27</v>
      </c>
      <c r="P13" s="14" t="s">
        <v>28</v>
      </c>
    </row>
    <row r="14" customFormat="false" ht="30" hidden="false" customHeight="true" outlineLevel="0" collapsed="false">
      <c r="A14" s="15" t="s">
        <v>29</v>
      </c>
      <c r="B14" s="16" t="s">
        <v>9</v>
      </c>
      <c r="C14" s="17" t="s">
        <v>30</v>
      </c>
      <c r="D14" s="16" t="s">
        <v>31</v>
      </c>
      <c r="E14" s="16" t="s">
        <v>32</v>
      </c>
      <c r="F14" s="16" t="s">
        <v>33</v>
      </c>
      <c r="G14" s="18" t="n">
        <f aca="false">IF('Data Entry'!C5="","",'Data Entry'!C5)</f>
        <v>0</v>
      </c>
      <c r="H14" s="18" t="str">
        <f aca="false">IF(COUNT('Data Entry'!$C$5:$O$5)&lt;2,"",INDEX('Data Entry'!$C$5:$O$5,COUNT('Data Entry'!$C$5:$O$5)-1))</f>
        <v/>
      </c>
      <c r="I14" s="18" t="n">
        <f aca="false">IF(COUNT('Data Entry'!$C$5:$O$5)=0,"",INDEX('Data Entry'!$C$5:$O$5,COUNT('Data Entry'!$C$5:$O$5)))</f>
        <v>0</v>
      </c>
      <c r="J14" s="16" t="str">
        <f aca="false">IF(COUNT('Data Entry'!$C$5:$O$5)=0,"No data",IF(COUNT('Data Entry'!$C$5:$O$5)=1,"Baseline",IF(I14=H14,"► Flat",IF((I14&gt;H14)=(F14="Higher"),"▲ Improving","▼ Worsening"))))</f>
        <v>Baseline</v>
      </c>
      <c r="K14" s="15" t="str">
        <f aca="false">IF(I14="","No data",IF(F14="Higher",IF(I14&gt;=M14,"Green",IF(I14&gt;=N14,"Amber","Red")),IF(I14&lt;=M14,"Green",IF(I14&lt;=N14,"Amber","Red"))))</f>
        <v>Red</v>
      </c>
      <c r="L14" s="19" t="n">
        <v>1</v>
      </c>
      <c r="M14" s="19" t="n">
        <v>0.95</v>
      </c>
      <c r="N14" s="19" t="n">
        <v>0.85</v>
      </c>
      <c r="O14" s="17" t="s">
        <v>34</v>
      </c>
      <c r="P14" s="16" t="s">
        <v>35</v>
      </c>
    </row>
    <row r="15" customFormat="false" ht="30" hidden="false" customHeight="true" outlineLevel="0" collapsed="false">
      <c r="A15" s="15" t="s">
        <v>36</v>
      </c>
      <c r="B15" s="16" t="s">
        <v>9</v>
      </c>
      <c r="C15" s="17" t="s">
        <v>37</v>
      </c>
      <c r="D15" s="16" t="s">
        <v>31</v>
      </c>
      <c r="E15" s="16" t="s">
        <v>32</v>
      </c>
      <c r="F15" s="16" t="s">
        <v>33</v>
      </c>
      <c r="G15" s="18" t="n">
        <f aca="false">IF('Data Entry'!C6="","",'Data Entry'!C6)</f>
        <v>0</v>
      </c>
      <c r="H15" s="18" t="str">
        <f aca="false">IF(COUNT('Data Entry'!$C$6:$O$6)&lt;2,"",INDEX('Data Entry'!$C$6:$O$6,COUNT('Data Entry'!$C$6:$O$6)-1))</f>
        <v/>
      </c>
      <c r="I15" s="18" t="n">
        <f aca="false">IF(COUNT('Data Entry'!$C$6:$O$6)=0,"",INDEX('Data Entry'!$C$6:$O$6,COUNT('Data Entry'!$C$6:$O$6)))</f>
        <v>0</v>
      </c>
      <c r="J15" s="16" t="str">
        <f aca="false">IF(COUNT('Data Entry'!$C$6:$O$6)=0,"No data",IF(COUNT('Data Entry'!$C$6:$O$6)=1,"Baseline",IF(I15=H15,"► Flat",IF((I15&gt;H15)=(F15="Higher"),"▲ Improving","▼ Worsening"))))</f>
        <v>Baseline</v>
      </c>
      <c r="K15" s="15" t="str">
        <f aca="false">IF(I15="","No data",IF(F15="Higher",IF(I15&gt;=M15,"Green",IF(I15&gt;=N15,"Amber","Red")),IF(I15&lt;=M15,"Green",IF(I15&lt;=N15,"Amber","Red"))))</f>
        <v>Red</v>
      </c>
      <c r="L15" s="19" t="n">
        <v>1</v>
      </c>
      <c r="M15" s="19" t="n">
        <v>1</v>
      </c>
      <c r="N15" s="19" t="n">
        <v>0.75</v>
      </c>
      <c r="O15" s="17" t="s">
        <v>38</v>
      </c>
      <c r="P15" s="16" t="s">
        <v>35</v>
      </c>
    </row>
    <row r="16" customFormat="false" ht="30" hidden="false" customHeight="true" outlineLevel="0" collapsed="false">
      <c r="A16" s="15" t="s">
        <v>39</v>
      </c>
      <c r="B16" s="16" t="s">
        <v>9</v>
      </c>
      <c r="C16" s="17" t="s">
        <v>40</v>
      </c>
      <c r="D16" s="16" t="s">
        <v>31</v>
      </c>
      <c r="E16" s="16" t="s">
        <v>32</v>
      </c>
      <c r="F16" s="16" t="s">
        <v>33</v>
      </c>
      <c r="G16" s="18" t="str">
        <f aca="false">IF('Data Entry'!C7="","",'Data Entry'!C7)</f>
        <v/>
      </c>
      <c r="H16" s="18" t="str">
        <f aca="false">IF(COUNT('Data Entry'!$C$7:$O$7)&lt;2,"",INDEX('Data Entry'!$C$7:$O$7,COUNT('Data Entry'!$C$7:$O$7)-1))</f>
        <v/>
      </c>
      <c r="I16" s="18" t="str">
        <f aca="false">IF(COUNT('Data Entry'!$C$7:$O$7)=0,"",INDEX('Data Entry'!$C$7:$O$7,COUNT('Data Entry'!$C$7:$O$7)))</f>
        <v/>
      </c>
      <c r="J16" s="16" t="str">
        <f aca="false">IF(COUNT('Data Entry'!$C$7:$O$7)=0,"No data",IF(COUNT('Data Entry'!$C$7:$O$7)=1,"Baseline",IF(I16=H16,"► Flat",IF((I16&gt;H16)=(F16="Higher"),"▲ Improving","▼ Worsening"))))</f>
        <v>No data</v>
      </c>
      <c r="K16" s="15" t="str">
        <f aca="false">IF(I16="","No data",IF(F16="Higher",IF(I16&gt;=M16,"Green",IF(I16&gt;=N16,"Amber","Red")),IF(I16&lt;=M16,"Green",IF(I16&lt;=N16,"Amber","Red"))))</f>
        <v>No data</v>
      </c>
      <c r="L16" s="19" t="n">
        <v>0.9</v>
      </c>
      <c r="M16" s="19" t="n">
        <v>0.85</v>
      </c>
      <c r="N16" s="19" t="n">
        <v>0.75</v>
      </c>
      <c r="O16" s="17" t="s">
        <v>41</v>
      </c>
      <c r="P16" s="16" t="s">
        <v>35</v>
      </c>
    </row>
    <row r="17" customFormat="false" ht="30" hidden="false" customHeight="true" outlineLevel="0" collapsed="false">
      <c r="A17" s="15" t="s">
        <v>42</v>
      </c>
      <c r="B17" s="16" t="s">
        <v>9</v>
      </c>
      <c r="C17" s="17" t="s">
        <v>43</v>
      </c>
      <c r="D17" s="16" t="s">
        <v>31</v>
      </c>
      <c r="E17" s="16" t="s">
        <v>32</v>
      </c>
      <c r="F17" s="16" t="s">
        <v>33</v>
      </c>
      <c r="G17" s="18" t="n">
        <f aca="false">IF('Data Entry'!C8="","",'Data Entry'!C8)</f>
        <v>1</v>
      </c>
      <c r="H17" s="18" t="str">
        <f aca="false">IF(COUNT('Data Entry'!$C$8:$O$8)&lt;2,"",INDEX('Data Entry'!$C$8:$O$8,COUNT('Data Entry'!$C$8:$O$8)-1))</f>
        <v/>
      </c>
      <c r="I17" s="18" t="n">
        <f aca="false">IF(COUNT('Data Entry'!$C$8:$O$8)=0,"",INDEX('Data Entry'!$C$8:$O$8,COUNT('Data Entry'!$C$8:$O$8)))</f>
        <v>1</v>
      </c>
      <c r="J17" s="16" t="str">
        <f aca="false">IF(COUNT('Data Entry'!$C$8:$O$8)=0,"No data",IF(COUNT('Data Entry'!$C$8:$O$8)=1,"Baseline",IF(I17=H17,"► Flat",IF((I17&gt;H17)=(F17="Higher"),"▲ Improving","▼ Worsening"))))</f>
        <v>Baseline</v>
      </c>
      <c r="K17" s="15" t="str">
        <f aca="false">IF(I17="","No data",IF(F17="Higher",IF(I17&gt;=M17,"Green",IF(I17&gt;=N17,"Amber","Red")),IF(I17&lt;=M17,"Green",IF(I17&lt;=N17,"Amber","Red"))))</f>
        <v>Green</v>
      </c>
      <c r="L17" s="19" t="n">
        <v>0.95</v>
      </c>
      <c r="M17" s="19" t="n">
        <v>0.95</v>
      </c>
      <c r="N17" s="19" t="n">
        <v>0.85</v>
      </c>
      <c r="O17" s="17" t="s">
        <v>38</v>
      </c>
      <c r="P17" s="16" t="s">
        <v>44</v>
      </c>
    </row>
    <row r="18" customFormat="false" ht="30" hidden="false" customHeight="true" outlineLevel="0" collapsed="false">
      <c r="A18" s="15" t="s">
        <v>45</v>
      </c>
      <c r="B18" s="16" t="s">
        <v>9</v>
      </c>
      <c r="C18" s="17" t="s">
        <v>46</v>
      </c>
      <c r="D18" s="16" t="s">
        <v>31</v>
      </c>
      <c r="E18" s="16" t="s">
        <v>32</v>
      </c>
      <c r="F18" s="16" t="s">
        <v>33</v>
      </c>
      <c r="G18" s="18" t="n">
        <f aca="false">IF('Data Entry'!C9="","",'Data Entry'!C9)</f>
        <v>0</v>
      </c>
      <c r="H18" s="18" t="str">
        <f aca="false">IF(COUNT('Data Entry'!$C$9:$O$9)&lt;2,"",INDEX('Data Entry'!$C$9:$O$9,COUNT('Data Entry'!$C$9:$O$9)-1))</f>
        <v/>
      </c>
      <c r="I18" s="18" t="n">
        <f aca="false">IF(COUNT('Data Entry'!$C$9:$O$9)=0,"",INDEX('Data Entry'!$C$9:$O$9,COUNT('Data Entry'!$C$9:$O$9)))</f>
        <v>0</v>
      </c>
      <c r="J18" s="16" t="str">
        <f aca="false">IF(COUNT('Data Entry'!$C$9:$O$9)=0,"No data",IF(COUNT('Data Entry'!$C$9:$O$9)=1,"Baseline",IF(I18=H18,"► Flat",IF((I18&gt;H18)=(F18="Higher"),"▲ Improving","▼ Worsening"))))</f>
        <v>Baseline</v>
      </c>
      <c r="K18" s="15" t="str">
        <f aca="false">IF(I18="","No data",IF(F18="Higher",IF(I18&gt;=M18,"Green",IF(I18&gt;=N18,"Amber","Red")),IF(I18&lt;=M18,"Green",IF(I18&lt;=N18,"Amber","Red"))))</f>
        <v>Red</v>
      </c>
      <c r="L18" s="19" t="n">
        <v>1</v>
      </c>
      <c r="M18" s="19" t="n">
        <v>0.98</v>
      </c>
      <c r="N18" s="19" t="n">
        <v>0.9</v>
      </c>
      <c r="O18" s="17" t="s">
        <v>47</v>
      </c>
      <c r="P18" s="16" t="s">
        <v>44</v>
      </c>
    </row>
    <row r="19" customFormat="false" ht="30" hidden="false" customHeight="true" outlineLevel="0" collapsed="false">
      <c r="A19" s="15" t="s">
        <v>48</v>
      </c>
      <c r="B19" s="16" t="s">
        <v>9</v>
      </c>
      <c r="C19" s="17" t="s">
        <v>49</v>
      </c>
      <c r="D19" s="16" t="s">
        <v>31</v>
      </c>
      <c r="E19" s="16" t="s">
        <v>32</v>
      </c>
      <c r="F19" s="16" t="s">
        <v>33</v>
      </c>
      <c r="G19" s="18" t="n">
        <f aca="false">IF('Data Entry'!C10="","",'Data Entry'!C10)</f>
        <v>0.58</v>
      </c>
      <c r="H19" s="18" t="str">
        <f aca="false">IF(COUNT('Data Entry'!$C$10:$O$10)&lt;2,"",INDEX('Data Entry'!$C$10:$O$10,COUNT('Data Entry'!$C$10:$O$10)-1))</f>
        <v/>
      </c>
      <c r="I19" s="18" t="n">
        <f aca="false">IF(COUNT('Data Entry'!$C$10:$O$10)=0,"",INDEX('Data Entry'!$C$10:$O$10,COUNT('Data Entry'!$C$10:$O$10)))</f>
        <v>0.58</v>
      </c>
      <c r="J19" s="16" t="str">
        <f aca="false">IF(COUNT('Data Entry'!$C$10:$O$10)=0,"No data",IF(COUNT('Data Entry'!$C$10:$O$10)=1,"Baseline",IF(I19=H19,"► Flat",IF((I19&gt;H19)=(F19="Higher"),"▲ Improving","▼ Worsening"))))</f>
        <v>Baseline</v>
      </c>
      <c r="K19" s="15" t="str">
        <f aca="false">IF(I19="","No data",IF(F19="Higher",IF(I19&gt;=M19,"Green",IF(I19&gt;=N19,"Amber","Red")),IF(I19&lt;=M19,"Green",IF(I19&lt;=N19,"Amber","Red"))))</f>
        <v>Red</v>
      </c>
      <c r="L19" s="19" t="n">
        <v>0.95</v>
      </c>
      <c r="M19" s="19" t="n">
        <v>0.95</v>
      </c>
      <c r="N19" s="19" t="n">
        <v>0.8</v>
      </c>
      <c r="O19" s="17" t="s">
        <v>50</v>
      </c>
      <c r="P19" s="16" t="s">
        <v>35</v>
      </c>
    </row>
    <row r="20" customFormat="false" ht="30" hidden="false" customHeight="true" outlineLevel="0" collapsed="false">
      <c r="A20" s="15" t="s">
        <v>51</v>
      </c>
      <c r="B20" s="16" t="s">
        <v>10</v>
      </c>
      <c r="C20" s="17" t="s">
        <v>52</v>
      </c>
      <c r="D20" s="16" t="s">
        <v>53</v>
      </c>
      <c r="E20" s="16" t="s">
        <v>54</v>
      </c>
      <c r="F20" s="16" t="s">
        <v>55</v>
      </c>
      <c r="G20" s="20" t="n">
        <f aca="false">IF('Data Entry'!C11="","",'Data Entry'!C11)</f>
        <v>3</v>
      </c>
      <c r="H20" s="20" t="str">
        <f aca="false">IF(COUNT('Data Entry'!$C$11:$O$11)&lt;2,"",INDEX('Data Entry'!$C$11:$O$11,COUNT('Data Entry'!$C$11:$O$11)-1))</f>
        <v/>
      </c>
      <c r="I20" s="20" t="n">
        <f aca="false">IF(COUNT('Data Entry'!$C$11:$O$11)=0,"",INDEX('Data Entry'!$C$11:$O$11,COUNT('Data Entry'!$C$11:$O$11)))</f>
        <v>3</v>
      </c>
      <c r="J20" s="16" t="str">
        <f aca="false">IF(COUNT('Data Entry'!$C$11:$O$11)=0,"No data",IF(COUNT('Data Entry'!$C$11:$O$11)=1,"Baseline",IF(I20=H20,"► Flat",IF((I20&gt;H20)=(F20="Higher"),"▲ Improving","▼ Worsening"))))</f>
        <v>Baseline</v>
      </c>
      <c r="K20" s="15" t="str">
        <f aca="false">IF(I20="","No data",IF(F20="Higher",IF(I20&gt;=M20,"Green",IF(I20&gt;=N20,"Amber","Red")),IF(I20&lt;=M20,"Green",IF(I20&lt;=N20,"Amber","Red"))))</f>
        <v>Red</v>
      </c>
      <c r="L20" s="21" t="n">
        <v>0</v>
      </c>
      <c r="M20" s="21" t="n">
        <v>0</v>
      </c>
      <c r="N20" s="21" t="n">
        <v>2</v>
      </c>
      <c r="O20" s="17" t="s">
        <v>56</v>
      </c>
      <c r="P20" s="16" t="s">
        <v>44</v>
      </c>
    </row>
    <row r="21" customFormat="false" ht="30" hidden="false" customHeight="true" outlineLevel="0" collapsed="false">
      <c r="A21" s="15" t="s">
        <v>57</v>
      </c>
      <c r="B21" s="16" t="s">
        <v>10</v>
      </c>
      <c r="C21" s="17" t="s">
        <v>58</v>
      </c>
      <c r="D21" s="16" t="s">
        <v>31</v>
      </c>
      <c r="E21" s="16" t="s">
        <v>32</v>
      </c>
      <c r="F21" s="16" t="s">
        <v>33</v>
      </c>
      <c r="G21" s="18" t="n">
        <f aca="false">IF('Data Entry'!C12="","",'Data Entry'!C12)</f>
        <v>0</v>
      </c>
      <c r="H21" s="18" t="str">
        <f aca="false">IF(COUNT('Data Entry'!$C$12:$O$12)&lt;2,"",INDEX('Data Entry'!$C$12:$O$12,COUNT('Data Entry'!$C$12:$O$12)-1))</f>
        <v/>
      </c>
      <c r="I21" s="18" t="n">
        <f aca="false">IF(COUNT('Data Entry'!$C$12:$O$12)=0,"",INDEX('Data Entry'!$C$12:$O$12,COUNT('Data Entry'!$C$12:$O$12)))</f>
        <v>0</v>
      </c>
      <c r="J21" s="16" t="str">
        <f aca="false">IF(COUNT('Data Entry'!$C$12:$O$12)=0,"No data",IF(COUNT('Data Entry'!$C$12:$O$12)=1,"Baseline",IF(I21=H21,"► Flat",IF((I21&gt;H21)=(F21="Higher"),"▲ Improving","▼ Worsening"))))</f>
        <v>Baseline</v>
      </c>
      <c r="K21" s="15" t="str">
        <f aca="false">IF(I21="","No data",IF(F21="Higher",IF(I21&gt;=M21,"Green",IF(I21&gt;=N21,"Amber","Red")),IF(I21&lt;=M21,"Green",IF(I21&lt;=N21,"Amber","Red"))))</f>
        <v>Red</v>
      </c>
      <c r="L21" s="19" t="n">
        <v>1</v>
      </c>
      <c r="M21" s="19" t="n">
        <v>1</v>
      </c>
      <c r="N21" s="19" t="n">
        <v>0.85</v>
      </c>
      <c r="O21" s="17" t="s">
        <v>38</v>
      </c>
      <c r="P21" s="16" t="s">
        <v>44</v>
      </c>
    </row>
    <row r="22" customFormat="false" ht="30" hidden="false" customHeight="true" outlineLevel="0" collapsed="false">
      <c r="A22" s="15" t="s">
        <v>59</v>
      </c>
      <c r="B22" s="16" t="s">
        <v>10</v>
      </c>
      <c r="C22" s="17" t="s">
        <v>60</v>
      </c>
      <c r="D22" s="16" t="s">
        <v>31</v>
      </c>
      <c r="E22" s="16" t="s">
        <v>61</v>
      </c>
      <c r="F22" s="16" t="s">
        <v>55</v>
      </c>
      <c r="G22" s="20" t="n">
        <f aca="false">IF('Data Entry'!C13="","",'Data Entry'!C13)</f>
        <v>90</v>
      </c>
      <c r="H22" s="20" t="str">
        <f aca="false">IF(COUNT('Data Entry'!$C$13:$O$13)&lt;2,"",INDEX('Data Entry'!$C$13:$O$13,COUNT('Data Entry'!$C$13:$O$13)-1))</f>
        <v/>
      </c>
      <c r="I22" s="20" t="n">
        <f aca="false">IF(COUNT('Data Entry'!$C$13:$O$13)=0,"",INDEX('Data Entry'!$C$13:$O$13,COUNT('Data Entry'!$C$13:$O$13)))</f>
        <v>90</v>
      </c>
      <c r="J22" s="16" t="str">
        <f aca="false">IF(COUNT('Data Entry'!$C$13:$O$13)=0,"No data",IF(COUNT('Data Entry'!$C$13:$O$13)=1,"Baseline",IF(I22=H22,"► Flat",IF((I22&gt;H22)=(F22="Higher"),"▲ Improving","▼ Worsening"))))</f>
        <v>Baseline</v>
      </c>
      <c r="K22" s="15" t="str">
        <f aca="false">IF(I22="","No data",IF(F22="Higher",IF(I22&gt;=M22,"Green",IF(I22&gt;=N22,"Amber","Red")),IF(I22&lt;=M22,"Green",IF(I22&lt;=N22,"Amber","Red"))))</f>
        <v>Red</v>
      </c>
      <c r="L22" s="21" t="n">
        <v>30</v>
      </c>
      <c r="M22" s="21" t="n">
        <v>30</v>
      </c>
      <c r="N22" s="21" t="n">
        <v>60</v>
      </c>
      <c r="O22" s="17" t="s">
        <v>38</v>
      </c>
      <c r="P22" s="16" t="s">
        <v>35</v>
      </c>
    </row>
    <row r="23" customFormat="false" ht="30" hidden="false" customHeight="true" outlineLevel="0" collapsed="false">
      <c r="A23" s="15" t="s">
        <v>62</v>
      </c>
      <c r="B23" s="16" t="s">
        <v>10</v>
      </c>
      <c r="C23" s="17" t="s">
        <v>63</v>
      </c>
      <c r="D23" s="16" t="s">
        <v>31</v>
      </c>
      <c r="E23" s="16" t="s">
        <v>32</v>
      </c>
      <c r="F23" s="16" t="s">
        <v>33</v>
      </c>
      <c r="G23" s="18" t="n">
        <f aca="false">IF('Data Entry'!C14="","",'Data Entry'!C14)</f>
        <v>0</v>
      </c>
      <c r="H23" s="18" t="str">
        <f aca="false">IF(COUNT('Data Entry'!$C$14:$O$14)&lt;2,"",INDEX('Data Entry'!$C$14:$O$14,COUNT('Data Entry'!$C$14:$O$14)-1))</f>
        <v/>
      </c>
      <c r="I23" s="18" t="n">
        <f aca="false">IF(COUNT('Data Entry'!$C$14:$O$14)=0,"",INDEX('Data Entry'!$C$14:$O$14,COUNT('Data Entry'!$C$14:$O$14)))</f>
        <v>0</v>
      </c>
      <c r="J23" s="16" t="str">
        <f aca="false">IF(COUNT('Data Entry'!$C$14:$O$14)=0,"No data",IF(COUNT('Data Entry'!$C$14:$O$14)=1,"Baseline",IF(I23=H23,"► Flat",IF((I23&gt;H23)=(F23="Higher"),"▲ Improving","▼ Worsening"))))</f>
        <v>Baseline</v>
      </c>
      <c r="K23" s="15" t="str">
        <f aca="false">IF(I23="","No data",IF(F23="Higher",IF(I23&gt;=M23,"Green",IF(I23&gt;=N23,"Amber","Red")),IF(I23&lt;=M23,"Green",IF(I23&lt;=N23,"Amber","Red"))))</f>
        <v>Red</v>
      </c>
      <c r="L23" s="19" t="n">
        <v>1</v>
      </c>
      <c r="M23" s="19" t="n">
        <v>0.95</v>
      </c>
      <c r="N23" s="19" t="n">
        <v>0.8</v>
      </c>
      <c r="O23" s="17" t="s">
        <v>38</v>
      </c>
      <c r="P23" s="16" t="s">
        <v>35</v>
      </c>
    </row>
    <row r="24" customFormat="false" ht="30" hidden="false" customHeight="true" outlineLevel="0" collapsed="false">
      <c r="A24" s="15" t="s">
        <v>64</v>
      </c>
      <c r="B24" s="16" t="s">
        <v>10</v>
      </c>
      <c r="C24" s="17" t="s">
        <v>65</v>
      </c>
      <c r="D24" s="16" t="s">
        <v>53</v>
      </c>
      <c r="E24" s="16" t="s">
        <v>54</v>
      </c>
      <c r="F24" s="16" t="s">
        <v>55</v>
      </c>
      <c r="G24" s="20" t="n">
        <f aca="false">IF('Data Entry'!C15="","",'Data Entry'!C15)</f>
        <v>42</v>
      </c>
      <c r="H24" s="20" t="str">
        <f aca="false">IF(COUNT('Data Entry'!$C$15:$O$15)&lt;2,"",INDEX('Data Entry'!$C$15:$O$15,COUNT('Data Entry'!$C$15:$O$15)-1))</f>
        <v/>
      </c>
      <c r="I24" s="20" t="n">
        <f aca="false">IF(COUNT('Data Entry'!$C$15:$O$15)=0,"",INDEX('Data Entry'!$C$15:$O$15,COUNT('Data Entry'!$C$15:$O$15)))</f>
        <v>42</v>
      </c>
      <c r="J24" s="16" t="str">
        <f aca="false">IF(COUNT('Data Entry'!$C$15:$O$15)=0,"No data",IF(COUNT('Data Entry'!$C$15:$O$15)=1,"Baseline",IF(I24=H24,"► Flat",IF((I24&gt;H24)=(F24="Higher"),"▲ Improving","▼ Worsening"))))</f>
        <v>Baseline</v>
      </c>
      <c r="K24" s="15" t="str">
        <f aca="false">IF(I24="","No data",IF(F24="Higher",IF(I24&gt;=M24,"Green",IF(I24&gt;=N24,"Amber","Red")),IF(I24&lt;=M24,"Green",IF(I24&lt;=N24,"Amber","Red"))))</f>
        <v>Red</v>
      </c>
      <c r="L24" s="21" t="n">
        <v>0</v>
      </c>
      <c r="M24" s="21" t="n">
        <v>0</v>
      </c>
      <c r="N24" s="21" t="n">
        <v>5</v>
      </c>
      <c r="O24" s="17" t="s">
        <v>66</v>
      </c>
      <c r="P24" s="16" t="s">
        <v>44</v>
      </c>
    </row>
    <row r="25" customFormat="false" ht="30" hidden="false" customHeight="true" outlineLevel="0" collapsed="false">
      <c r="A25" s="15" t="s">
        <v>67</v>
      </c>
      <c r="B25" s="16" t="s">
        <v>10</v>
      </c>
      <c r="C25" s="17" t="s">
        <v>68</v>
      </c>
      <c r="D25" s="16" t="s">
        <v>31</v>
      </c>
      <c r="E25" s="16" t="s">
        <v>32</v>
      </c>
      <c r="F25" s="16" t="s">
        <v>33</v>
      </c>
      <c r="G25" s="18" t="n">
        <f aca="false">IF('Data Entry'!C16="","",'Data Entry'!C16)</f>
        <v>0</v>
      </c>
      <c r="H25" s="18" t="str">
        <f aca="false">IF(COUNT('Data Entry'!$C$16:$O$16)&lt;2,"",INDEX('Data Entry'!$C$16:$O$16,COUNT('Data Entry'!$C$16:$O$16)-1))</f>
        <v/>
      </c>
      <c r="I25" s="18" t="n">
        <f aca="false">IF(COUNT('Data Entry'!$C$16:$O$16)=0,"",INDEX('Data Entry'!$C$16:$O$16,COUNT('Data Entry'!$C$16:$O$16)))</f>
        <v>0</v>
      </c>
      <c r="J25" s="16" t="str">
        <f aca="false">IF(COUNT('Data Entry'!$C$16:$O$16)=0,"No data",IF(COUNT('Data Entry'!$C$16:$O$16)=1,"Baseline",IF(I25=H25,"► Flat",IF((I25&gt;H25)=(F25="Higher"),"▲ Improving","▼ Worsening"))))</f>
        <v>Baseline</v>
      </c>
      <c r="K25" s="15" t="str">
        <f aca="false">IF(I25="","No data",IF(F25="Higher",IF(I25&gt;=M25,"Green",IF(I25&gt;=N25,"Amber","Red")),IF(I25&lt;=M25,"Green",IF(I25&lt;=N25,"Amber","Red"))))</f>
        <v>Red</v>
      </c>
      <c r="L25" s="19" t="n">
        <v>1</v>
      </c>
      <c r="M25" s="19" t="n">
        <v>0.95</v>
      </c>
      <c r="N25" s="19" t="n">
        <v>0.8</v>
      </c>
      <c r="O25" s="17" t="s">
        <v>69</v>
      </c>
      <c r="P25" s="16" t="s">
        <v>35</v>
      </c>
    </row>
    <row r="26" customFormat="false" ht="30" hidden="false" customHeight="true" outlineLevel="0" collapsed="false">
      <c r="A26" s="15" t="s">
        <v>70</v>
      </c>
      <c r="B26" s="16" t="s">
        <v>10</v>
      </c>
      <c r="C26" s="17" t="s">
        <v>71</v>
      </c>
      <c r="D26" s="16" t="s">
        <v>53</v>
      </c>
      <c r="E26" s="16" t="s">
        <v>54</v>
      </c>
      <c r="F26" s="16" t="s">
        <v>55</v>
      </c>
      <c r="G26" s="20" t="n">
        <f aca="false">IF('Data Entry'!C17="","",'Data Entry'!C17)</f>
        <v>1</v>
      </c>
      <c r="H26" s="20" t="str">
        <f aca="false">IF(COUNT('Data Entry'!$C$17:$O$17)&lt;2,"",INDEX('Data Entry'!$C$17:$O$17,COUNT('Data Entry'!$C$17:$O$17)-1))</f>
        <v/>
      </c>
      <c r="I26" s="20" t="n">
        <f aca="false">IF(COUNT('Data Entry'!$C$17:$O$17)=0,"",INDEX('Data Entry'!$C$17:$O$17,COUNT('Data Entry'!$C$17:$O$17)))</f>
        <v>1</v>
      </c>
      <c r="J26" s="16" t="str">
        <f aca="false">IF(COUNT('Data Entry'!$C$17:$O$17)=0,"No data",IF(COUNT('Data Entry'!$C$17:$O$17)=1,"Baseline",IF(I26=H26,"► Flat",IF((I26&gt;H26)=(F26="Higher"),"▲ Improving","▼ Worsening"))))</f>
        <v>Baseline</v>
      </c>
      <c r="K26" s="15" t="str">
        <f aca="false">IF(I26="","No data",IF(F26="Higher",IF(I26&gt;=M26,"Green",IF(I26&gt;=N26,"Amber","Red")),IF(I26&lt;=M26,"Green",IF(I26&lt;=N26,"Amber","Red"))))</f>
        <v>Red</v>
      </c>
      <c r="L26" s="21" t="n">
        <v>0</v>
      </c>
      <c r="M26" s="21" t="n">
        <v>0</v>
      </c>
      <c r="N26" s="21" t="n">
        <v>0</v>
      </c>
      <c r="O26" s="17" t="s">
        <v>38</v>
      </c>
      <c r="P26" s="16" t="s">
        <v>44</v>
      </c>
    </row>
    <row r="27" customFormat="false" ht="30" hidden="false" customHeight="true" outlineLevel="0" collapsed="false">
      <c r="A27" s="15" t="s">
        <v>72</v>
      </c>
      <c r="B27" s="16" t="s">
        <v>11</v>
      </c>
      <c r="C27" s="17" t="s">
        <v>73</v>
      </c>
      <c r="D27" s="16" t="s">
        <v>31</v>
      </c>
      <c r="E27" s="16" t="s">
        <v>32</v>
      </c>
      <c r="F27" s="16" t="s">
        <v>33</v>
      </c>
      <c r="G27" s="18" t="n">
        <f aca="false">IF('Data Entry'!C18="","",'Data Entry'!C18)</f>
        <v>0.78</v>
      </c>
      <c r="H27" s="18" t="str">
        <f aca="false">IF(COUNT('Data Entry'!$C$18:$O$18)&lt;2,"",INDEX('Data Entry'!$C$18:$O$18,COUNT('Data Entry'!$C$18:$O$18)-1))</f>
        <v/>
      </c>
      <c r="I27" s="18" t="n">
        <f aca="false">IF(COUNT('Data Entry'!$C$18:$O$18)=0,"",INDEX('Data Entry'!$C$18:$O$18,COUNT('Data Entry'!$C$18:$O$18)))</f>
        <v>0.78</v>
      </c>
      <c r="J27" s="16" t="str">
        <f aca="false">IF(COUNT('Data Entry'!$C$18:$O$18)=0,"No data",IF(COUNT('Data Entry'!$C$18:$O$18)=1,"Baseline",IF(I27=H27,"► Flat",IF((I27&gt;H27)=(F27="Higher"),"▲ Improving","▼ Worsening"))))</f>
        <v>Baseline</v>
      </c>
      <c r="K27" s="15" t="str">
        <f aca="false">IF(I27="","No data",IF(F27="Higher",IF(I27&gt;=M27,"Green",IF(I27&gt;=N27,"Amber","Red")),IF(I27&lt;=M27,"Green",IF(I27&lt;=N27,"Amber","Red"))))</f>
        <v>Amber</v>
      </c>
      <c r="L27" s="19" t="n">
        <v>0.95</v>
      </c>
      <c r="M27" s="19" t="n">
        <v>0.9</v>
      </c>
      <c r="N27" s="19" t="n">
        <v>0.75</v>
      </c>
      <c r="O27" s="17" t="s">
        <v>34</v>
      </c>
      <c r="P27" s="16" t="s">
        <v>35</v>
      </c>
    </row>
    <row r="28" customFormat="false" ht="30" hidden="false" customHeight="true" outlineLevel="0" collapsed="false">
      <c r="A28" s="15" t="s">
        <v>74</v>
      </c>
      <c r="B28" s="16" t="s">
        <v>11</v>
      </c>
      <c r="C28" s="17" t="s">
        <v>75</v>
      </c>
      <c r="D28" s="16" t="s">
        <v>31</v>
      </c>
      <c r="E28" s="16" t="s">
        <v>32</v>
      </c>
      <c r="F28" s="16" t="s">
        <v>33</v>
      </c>
      <c r="G28" s="18" t="n">
        <f aca="false">IF('Data Entry'!C19="","",'Data Entry'!C19)</f>
        <v>0.25</v>
      </c>
      <c r="H28" s="18" t="str">
        <f aca="false">IF(COUNT('Data Entry'!$C$19:$O$19)&lt;2,"",INDEX('Data Entry'!$C$19:$O$19,COUNT('Data Entry'!$C$19:$O$19)-1))</f>
        <v/>
      </c>
      <c r="I28" s="18" t="n">
        <f aca="false">IF(COUNT('Data Entry'!$C$19:$O$19)=0,"",INDEX('Data Entry'!$C$19:$O$19,COUNT('Data Entry'!$C$19:$O$19)))</f>
        <v>0.25</v>
      </c>
      <c r="J28" s="16" t="str">
        <f aca="false">IF(COUNT('Data Entry'!$C$19:$O$19)=0,"No data",IF(COUNT('Data Entry'!$C$19:$O$19)=1,"Baseline",IF(I28=H28,"► Flat",IF((I28&gt;H28)=(F28="Higher"),"▲ Improving","▼ Worsening"))))</f>
        <v>Baseline</v>
      </c>
      <c r="K28" s="15" t="str">
        <f aca="false">IF(I28="","No data",IF(F28="Higher",IF(I28&gt;=M28,"Green",IF(I28&gt;=N28,"Amber","Red")),IF(I28&lt;=M28,"Green",IF(I28&lt;=N28,"Amber","Red"))))</f>
        <v>Red</v>
      </c>
      <c r="L28" s="19" t="n">
        <v>0.9</v>
      </c>
      <c r="M28" s="19" t="n">
        <v>0.9</v>
      </c>
      <c r="N28" s="19" t="n">
        <v>0.75</v>
      </c>
      <c r="O28" s="17" t="s">
        <v>34</v>
      </c>
      <c r="P28" s="16" t="s">
        <v>44</v>
      </c>
    </row>
    <row r="29" customFormat="false" ht="30" hidden="false" customHeight="true" outlineLevel="0" collapsed="false">
      <c r="A29" s="15" t="s">
        <v>76</v>
      </c>
      <c r="B29" s="16" t="s">
        <v>11</v>
      </c>
      <c r="C29" s="17" t="s">
        <v>77</v>
      </c>
      <c r="D29" s="16" t="s">
        <v>31</v>
      </c>
      <c r="E29" s="16" t="s">
        <v>32</v>
      </c>
      <c r="F29" s="16" t="s">
        <v>33</v>
      </c>
      <c r="G29" s="18" t="n">
        <f aca="false">IF('Data Entry'!C20="","",'Data Entry'!C20)</f>
        <v>0.92</v>
      </c>
      <c r="H29" s="18" t="str">
        <f aca="false">IF(COUNT('Data Entry'!$C$20:$O$20)&lt;2,"",INDEX('Data Entry'!$C$20:$O$20,COUNT('Data Entry'!$C$20:$O$20)-1))</f>
        <v/>
      </c>
      <c r="I29" s="18" t="n">
        <f aca="false">IF(COUNT('Data Entry'!$C$20:$O$20)=0,"",INDEX('Data Entry'!$C$20:$O$20,COUNT('Data Entry'!$C$20:$O$20)))</f>
        <v>0.92</v>
      </c>
      <c r="J29" s="16" t="str">
        <f aca="false">IF(COUNT('Data Entry'!$C$20:$O$20)=0,"No data",IF(COUNT('Data Entry'!$C$20:$O$20)=1,"Baseline",IF(I29=H29,"► Flat",IF((I29&gt;H29)=(F29="Higher"),"▲ Improving","▼ Worsening"))))</f>
        <v>Baseline</v>
      </c>
      <c r="K29" s="15" t="str">
        <f aca="false">IF(I29="","No data",IF(F29="Higher",IF(I29&gt;=M29,"Green",IF(I29&gt;=N29,"Amber","Red")),IF(I29&lt;=M29,"Green",IF(I29&lt;=N29,"Amber","Red"))))</f>
        <v>Amber</v>
      </c>
      <c r="L29" s="19" t="n">
        <v>0.98</v>
      </c>
      <c r="M29" s="19" t="n">
        <v>0.98</v>
      </c>
      <c r="N29" s="19" t="n">
        <v>0.9</v>
      </c>
      <c r="O29" s="17" t="s">
        <v>47</v>
      </c>
      <c r="P29" s="16" t="s">
        <v>44</v>
      </c>
    </row>
    <row r="30" customFormat="false" ht="30" hidden="false" customHeight="true" outlineLevel="0" collapsed="false">
      <c r="A30" s="15" t="s">
        <v>78</v>
      </c>
      <c r="B30" s="16" t="s">
        <v>11</v>
      </c>
      <c r="C30" s="17" t="s">
        <v>79</v>
      </c>
      <c r="D30" s="16" t="s">
        <v>31</v>
      </c>
      <c r="E30" s="16" t="s">
        <v>32</v>
      </c>
      <c r="F30" s="16" t="s">
        <v>33</v>
      </c>
      <c r="G30" s="18" t="n">
        <f aca="false">IF('Data Entry'!C21="","",'Data Entry'!C21)</f>
        <v>0.6</v>
      </c>
      <c r="H30" s="18" t="str">
        <f aca="false">IF(COUNT('Data Entry'!$C$21:$O$21)&lt;2,"",INDEX('Data Entry'!$C$21:$O$21,COUNT('Data Entry'!$C$21:$O$21)-1))</f>
        <v/>
      </c>
      <c r="I30" s="18" t="n">
        <f aca="false">IF(COUNT('Data Entry'!$C$21:$O$21)=0,"",INDEX('Data Entry'!$C$21:$O$21,COUNT('Data Entry'!$C$21:$O$21)))</f>
        <v>0.6</v>
      </c>
      <c r="J30" s="16" t="str">
        <f aca="false">IF(COUNT('Data Entry'!$C$21:$O$21)=0,"No data",IF(COUNT('Data Entry'!$C$21:$O$21)=1,"Baseline",IF(I30=H30,"► Flat",IF((I30&gt;H30)=(F30="Higher"),"▲ Improving","▼ Worsening"))))</f>
        <v>Baseline</v>
      </c>
      <c r="K30" s="15" t="str">
        <f aca="false">IF(I30="","No data",IF(F30="Higher",IF(I30&gt;=M30,"Green",IF(I30&gt;=N30,"Amber","Red")),IF(I30&lt;=M30,"Green",IF(I30&lt;=N30,"Amber","Red"))))</f>
        <v>Red</v>
      </c>
      <c r="L30" s="19" t="n">
        <v>1</v>
      </c>
      <c r="M30" s="19" t="n">
        <v>0.95</v>
      </c>
      <c r="N30" s="19" t="n">
        <v>0.85</v>
      </c>
      <c r="O30" s="17" t="s">
        <v>38</v>
      </c>
      <c r="P30" s="16" t="s">
        <v>35</v>
      </c>
    </row>
    <row r="31" customFormat="false" ht="30" hidden="false" customHeight="true" outlineLevel="0" collapsed="false">
      <c r="A31" s="15" t="s">
        <v>80</v>
      </c>
      <c r="B31" s="16" t="s">
        <v>11</v>
      </c>
      <c r="C31" s="17" t="s">
        <v>81</v>
      </c>
      <c r="D31" s="16" t="s">
        <v>31</v>
      </c>
      <c r="E31" s="16" t="s">
        <v>32</v>
      </c>
      <c r="F31" s="16" t="s">
        <v>33</v>
      </c>
      <c r="G31" s="18" t="n">
        <f aca="false">IF('Data Entry'!C22="","",'Data Entry'!C22)</f>
        <v>0.65</v>
      </c>
      <c r="H31" s="18" t="str">
        <f aca="false">IF(COUNT('Data Entry'!$C$22:$O$22)&lt;2,"",INDEX('Data Entry'!$C$22:$O$22,COUNT('Data Entry'!$C$22:$O$22)-1))</f>
        <v/>
      </c>
      <c r="I31" s="18" t="n">
        <f aca="false">IF(COUNT('Data Entry'!$C$22:$O$22)=0,"",INDEX('Data Entry'!$C$22:$O$22,COUNT('Data Entry'!$C$22:$O$22)))</f>
        <v>0.65</v>
      </c>
      <c r="J31" s="16" t="str">
        <f aca="false">IF(COUNT('Data Entry'!$C$22:$O$22)=0,"No data",IF(COUNT('Data Entry'!$C$22:$O$22)=1,"Baseline",IF(I31=H31,"► Flat",IF((I31&gt;H31)=(F31="Higher"),"▲ Improving","▼ Worsening"))))</f>
        <v>Baseline</v>
      </c>
      <c r="K31" s="15" t="str">
        <f aca="false">IF(I31="","No data",IF(F31="Higher",IF(I31&gt;=M31,"Green",IF(I31&gt;=N31,"Amber","Red")),IF(I31&lt;=M31,"Green",IF(I31&lt;=N31,"Amber","Red"))))</f>
        <v>Red</v>
      </c>
      <c r="L31" s="19" t="n">
        <v>1</v>
      </c>
      <c r="M31" s="19" t="n">
        <v>0.98</v>
      </c>
      <c r="N31" s="19" t="n">
        <v>0.9</v>
      </c>
      <c r="O31" s="17" t="s">
        <v>38</v>
      </c>
      <c r="P31" s="16" t="s">
        <v>35</v>
      </c>
    </row>
    <row r="32" customFormat="false" ht="30" hidden="false" customHeight="true" outlineLevel="0" collapsed="false">
      <c r="A32" s="15" t="s">
        <v>82</v>
      </c>
      <c r="B32" s="16" t="s">
        <v>11</v>
      </c>
      <c r="C32" s="17" t="s">
        <v>83</v>
      </c>
      <c r="D32" s="16" t="s">
        <v>31</v>
      </c>
      <c r="E32" s="16" t="s">
        <v>32</v>
      </c>
      <c r="F32" s="16" t="s">
        <v>33</v>
      </c>
      <c r="G32" s="18" t="n">
        <f aca="false">IF('Data Entry'!C23="","",'Data Entry'!C23)</f>
        <v>0</v>
      </c>
      <c r="H32" s="18" t="str">
        <f aca="false">IF(COUNT('Data Entry'!$C$23:$O$23)&lt;2,"",INDEX('Data Entry'!$C$23:$O$23,COUNT('Data Entry'!$C$23:$O$23)-1))</f>
        <v/>
      </c>
      <c r="I32" s="18" t="n">
        <f aca="false">IF(COUNT('Data Entry'!$C$23:$O$23)=0,"",INDEX('Data Entry'!$C$23:$O$23,COUNT('Data Entry'!$C$23:$O$23)))</f>
        <v>0</v>
      </c>
      <c r="J32" s="16" t="str">
        <f aca="false">IF(COUNT('Data Entry'!$C$23:$O$23)=0,"No data",IF(COUNT('Data Entry'!$C$23:$O$23)=1,"Baseline",IF(I32=H32,"► Flat",IF((I32&gt;H32)=(F32="Higher"),"▲ Improving","▼ Worsening"))))</f>
        <v>Baseline</v>
      </c>
      <c r="K32" s="15" t="str">
        <f aca="false">IF(I32="","No data",IF(F32="Higher",IF(I32&gt;=M32,"Green",IF(I32&gt;=N32,"Amber","Red")),IF(I32&lt;=M32,"Green",IF(I32&lt;=N32,"Amber","Red"))))</f>
        <v>Red</v>
      </c>
      <c r="L32" s="19" t="n">
        <v>1</v>
      </c>
      <c r="M32" s="19" t="n">
        <v>0.95</v>
      </c>
      <c r="N32" s="19" t="n">
        <v>0.8</v>
      </c>
      <c r="O32" s="17" t="s">
        <v>34</v>
      </c>
      <c r="P32" s="16" t="s">
        <v>35</v>
      </c>
    </row>
    <row r="33" customFormat="false" ht="30" hidden="false" customHeight="true" outlineLevel="0" collapsed="false">
      <c r="A33" s="15" t="s">
        <v>84</v>
      </c>
      <c r="B33" s="16" t="s">
        <v>12</v>
      </c>
      <c r="C33" s="17" t="s">
        <v>85</v>
      </c>
      <c r="D33" s="16" t="s">
        <v>31</v>
      </c>
      <c r="E33" s="16" t="s">
        <v>61</v>
      </c>
      <c r="F33" s="16" t="s">
        <v>55</v>
      </c>
      <c r="G33" s="20" t="n">
        <f aca="false">IF('Data Entry'!C24="","",'Data Entry'!C24)</f>
        <v>12</v>
      </c>
      <c r="H33" s="20" t="str">
        <f aca="false">IF(COUNT('Data Entry'!$C$24:$O$24)&lt;2,"",INDEX('Data Entry'!$C$24:$O$24,COUNT('Data Entry'!$C$24:$O$24)-1))</f>
        <v/>
      </c>
      <c r="I33" s="20" t="n">
        <f aca="false">IF(COUNT('Data Entry'!$C$24:$O$24)=0,"",INDEX('Data Entry'!$C$24:$O$24,COUNT('Data Entry'!$C$24:$O$24)))</f>
        <v>12</v>
      </c>
      <c r="J33" s="16" t="str">
        <f aca="false">IF(COUNT('Data Entry'!$C$24:$O$24)=0,"No data",IF(COUNT('Data Entry'!$C$24:$O$24)=1,"Baseline",IF(I33=H33,"► Flat",IF((I33&gt;H33)=(F33="Higher"),"▲ Improving","▼ Worsening"))))</f>
        <v>Baseline</v>
      </c>
      <c r="K33" s="15" t="str">
        <f aca="false">IF(I33="","No data",IF(F33="Higher",IF(I33&gt;=M33,"Green",IF(I33&gt;=N33,"Amber","Red")),IF(I33&lt;=M33,"Green",IF(I33&lt;=N33,"Amber","Red"))))</f>
        <v>Amber</v>
      </c>
      <c r="L33" s="21" t="n">
        <v>7</v>
      </c>
      <c r="M33" s="21" t="n">
        <v>7</v>
      </c>
      <c r="N33" s="21" t="n">
        <v>14</v>
      </c>
      <c r="O33" s="17" t="s">
        <v>66</v>
      </c>
      <c r="P33" s="16" t="s">
        <v>44</v>
      </c>
    </row>
    <row r="34" customFormat="false" ht="30" hidden="false" customHeight="true" outlineLevel="0" collapsed="false">
      <c r="A34" s="15" t="s">
        <v>86</v>
      </c>
      <c r="B34" s="16" t="s">
        <v>12</v>
      </c>
      <c r="C34" s="17" t="s">
        <v>87</v>
      </c>
      <c r="D34" s="16" t="s">
        <v>31</v>
      </c>
      <c r="E34" s="16" t="s">
        <v>32</v>
      </c>
      <c r="F34" s="16" t="s">
        <v>33</v>
      </c>
      <c r="G34" s="18" t="n">
        <f aca="false">IF('Data Entry'!C25="","",'Data Entry'!C25)</f>
        <v>0.85</v>
      </c>
      <c r="H34" s="18" t="str">
        <f aca="false">IF(COUNT('Data Entry'!$C$25:$O$25)&lt;2,"",INDEX('Data Entry'!$C$25:$O$25,COUNT('Data Entry'!$C$25:$O$25)-1))</f>
        <v/>
      </c>
      <c r="I34" s="18" t="n">
        <f aca="false">IF(COUNT('Data Entry'!$C$25:$O$25)=0,"",INDEX('Data Entry'!$C$25:$O$25,COUNT('Data Entry'!$C$25:$O$25)))</f>
        <v>0.85</v>
      </c>
      <c r="J34" s="16" t="str">
        <f aca="false">IF(COUNT('Data Entry'!$C$25:$O$25)=0,"No data",IF(COUNT('Data Entry'!$C$25:$O$25)=1,"Baseline",IF(I34=H34,"► Flat",IF((I34&gt;H34)=(F34="Higher"),"▲ Improving","▼ Worsening"))))</f>
        <v>Baseline</v>
      </c>
      <c r="K34" s="15" t="str">
        <f aca="false">IF(I34="","No data",IF(F34="Higher",IF(I34&gt;=M34,"Green",IF(I34&gt;=N34,"Amber","Red")),IF(I34&lt;=M34,"Green",IF(I34&lt;=N34,"Amber","Red"))))</f>
        <v>Red</v>
      </c>
      <c r="L34" s="19" t="n">
        <v>1</v>
      </c>
      <c r="M34" s="19" t="n">
        <v>0.99</v>
      </c>
      <c r="N34" s="19" t="n">
        <v>0.9</v>
      </c>
      <c r="O34" s="17" t="s">
        <v>38</v>
      </c>
      <c r="P34" s="16" t="s">
        <v>44</v>
      </c>
    </row>
    <row r="35" customFormat="false" ht="30" hidden="false" customHeight="true" outlineLevel="0" collapsed="false">
      <c r="A35" s="15" t="s">
        <v>88</v>
      </c>
      <c r="B35" s="16" t="s">
        <v>12</v>
      </c>
      <c r="C35" s="17" t="s">
        <v>89</v>
      </c>
      <c r="D35" s="16" t="s">
        <v>31</v>
      </c>
      <c r="E35" s="16" t="s">
        <v>32</v>
      </c>
      <c r="F35" s="16" t="s">
        <v>33</v>
      </c>
      <c r="G35" s="18" t="n">
        <f aca="false">IF('Data Entry'!C26="","",'Data Entry'!C26)</f>
        <v>0.5</v>
      </c>
      <c r="H35" s="18" t="str">
        <f aca="false">IF(COUNT('Data Entry'!$C$26:$O$26)&lt;2,"",INDEX('Data Entry'!$C$26:$O$26,COUNT('Data Entry'!$C$26:$O$26)-1))</f>
        <v/>
      </c>
      <c r="I35" s="18" t="n">
        <f aca="false">IF(COUNT('Data Entry'!$C$26:$O$26)=0,"",INDEX('Data Entry'!$C$26:$O$26,COUNT('Data Entry'!$C$26:$O$26)))</f>
        <v>0.5</v>
      </c>
      <c r="J35" s="16" t="str">
        <f aca="false">IF(COUNT('Data Entry'!$C$26:$O$26)=0,"No data",IF(COUNT('Data Entry'!$C$26:$O$26)=1,"Baseline",IF(I35=H35,"► Flat",IF((I35&gt;H35)=(F35="Higher"),"▲ Improving","▼ Worsening"))))</f>
        <v>Baseline</v>
      </c>
      <c r="K35" s="15" t="str">
        <f aca="false">IF(I35="","No data",IF(F35="Higher",IF(I35&gt;=M35,"Green",IF(I35&gt;=N35,"Amber","Red")),IF(I35&lt;=M35,"Green",IF(I35&lt;=N35,"Amber","Red"))))</f>
        <v>Red</v>
      </c>
      <c r="L35" s="19" t="n">
        <v>1</v>
      </c>
      <c r="M35" s="19" t="n">
        <v>0.95</v>
      </c>
      <c r="N35" s="19" t="n">
        <v>0.8</v>
      </c>
      <c r="O35" s="17" t="s">
        <v>90</v>
      </c>
      <c r="P35" s="16" t="s">
        <v>44</v>
      </c>
    </row>
    <row r="36" customFormat="false" ht="30" hidden="false" customHeight="true" outlineLevel="0" collapsed="false">
      <c r="A36" s="15" t="s">
        <v>91</v>
      </c>
      <c r="B36" s="16" t="s">
        <v>12</v>
      </c>
      <c r="C36" s="17" t="s">
        <v>92</v>
      </c>
      <c r="D36" s="16" t="s">
        <v>31</v>
      </c>
      <c r="E36" s="16" t="s">
        <v>93</v>
      </c>
      <c r="F36" s="16" t="s">
        <v>55</v>
      </c>
      <c r="G36" s="20" t="n">
        <f aca="false">IF('Data Entry'!C27="","",'Data Entry'!C27)</f>
        <v>16</v>
      </c>
      <c r="H36" s="20" t="str">
        <f aca="false">IF(COUNT('Data Entry'!$C$27:$O$27)&lt;2,"",INDEX('Data Entry'!$C$27:$O$27,COUNT('Data Entry'!$C$27:$O$27)-1))</f>
        <v/>
      </c>
      <c r="I36" s="20" t="n">
        <f aca="false">IF(COUNT('Data Entry'!$C$27:$O$27)=0,"",INDEX('Data Entry'!$C$27:$O$27,COUNT('Data Entry'!$C$27:$O$27)))</f>
        <v>16</v>
      </c>
      <c r="J36" s="16" t="str">
        <f aca="false">IF(COUNT('Data Entry'!$C$27:$O$27)=0,"No data",IF(COUNT('Data Entry'!$C$27:$O$27)=1,"Baseline",IF(I36=H36,"► Flat",IF((I36&gt;H36)=(F36="Higher"),"▲ Improving","▼ Worsening"))))</f>
        <v>Baseline</v>
      </c>
      <c r="K36" s="15" t="str">
        <f aca="false">IF(I36="","No data",IF(F36="Higher",IF(I36&gt;=M36,"Green",IF(I36&gt;=N36,"Amber","Red")),IF(I36&lt;=M36,"Green",IF(I36&lt;=N36,"Amber","Red"))))</f>
        <v>Red</v>
      </c>
      <c r="L36" s="21" t="n">
        <v>4</v>
      </c>
      <c r="M36" s="21" t="n">
        <v>4</v>
      </c>
      <c r="N36" s="21" t="n">
        <v>8</v>
      </c>
      <c r="O36" s="17" t="s">
        <v>90</v>
      </c>
      <c r="P36" s="16" t="s">
        <v>44</v>
      </c>
    </row>
    <row r="37" customFormat="false" ht="30" hidden="false" customHeight="true" outlineLevel="0" collapsed="false">
      <c r="A37" s="15" t="s">
        <v>94</v>
      </c>
      <c r="B37" s="16" t="s">
        <v>12</v>
      </c>
      <c r="C37" s="17" t="s">
        <v>95</v>
      </c>
      <c r="D37" s="16" t="s">
        <v>53</v>
      </c>
      <c r="E37" s="16" t="s">
        <v>54</v>
      </c>
      <c r="F37" s="16" t="s">
        <v>55</v>
      </c>
      <c r="G37" s="20" t="n">
        <f aca="false">IF('Data Entry'!C28="","",'Data Entry'!C28)</f>
        <v>8</v>
      </c>
      <c r="H37" s="20" t="str">
        <f aca="false">IF(COUNT('Data Entry'!$C$28:$O$28)&lt;2,"",INDEX('Data Entry'!$C$28:$O$28,COUNT('Data Entry'!$C$28:$O$28)-1))</f>
        <v/>
      </c>
      <c r="I37" s="20" t="n">
        <f aca="false">IF(COUNT('Data Entry'!$C$28:$O$28)=0,"",INDEX('Data Entry'!$C$28:$O$28,COUNT('Data Entry'!$C$28:$O$28)))</f>
        <v>8</v>
      </c>
      <c r="J37" s="16" t="str">
        <f aca="false">IF(COUNT('Data Entry'!$C$28:$O$28)=0,"No data",IF(COUNT('Data Entry'!$C$28:$O$28)=1,"Baseline",IF(I37=H37,"► Flat",IF((I37&gt;H37)=(F37="Higher"),"▲ Improving","▼ Worsening"))))</f>
        <v>Baseline</v>
      </c>
      <c r="K37" s="15" t="str">
        <f aca="false">IF(I37="","No data",IF(F37="Higher",IF(I37&gt;=M37,"Green",IF(I37&gt;=N37,"Amber","Red")),IF(I37&lt;=M37,"Green",IF(I37&lt;=N37,"Amber","Red"))))</f>
        <v>Red</v>
      </c>
      <c r="L37" s="21" t="n">
        <v>0</v>
      </c>
      <c r="M37" s="21" t="n">
        <v>0</v>
      </c>
      <c r="N37" s="21" t="n">
        <v>2</v>
      </c>
      <c r="O37" s="17" t="s">
        <v>96</v>
      </c>
      <c r="P37" s="16" t="s">
        <v>44</v>
      </c>
    </row>
    <row r="38" customFormat="false" ht="30" hidden="false" customHeight="true" outlineLevel="0" collapsed="false">
      <c r="A38" s="15" t="s">
        <v>97</v>
      </c>
      <c r="B38" s="16" t="s">
        <v>12</v>
      </c>
      <c r="C38" s="17" t="s">
        <v>98</v>
      </c>
      <c r="D38" s="16" t="s">
        <v>31</v>
      </c>
      <c r="E38" s="16" t="s">
        <v>32</v>
      </c>
      <c r="F38" s="16" t="s">
        <v>33</v>
      </c>
      <c r="G38" s="18" t="n">
        <f aca="false">IF('Data Entry'!C29="","",'Data Entry'!C29)</f>
        <v>0</v>
      </c>
      <c r="H38" s="18" t="str">
        <f aca="false">IF(COUNT('Data Entry'!$C$29:$O$29)&lt;2,"",INDEX('Data Entry'!$C$29:$O$29,COUNT('Data Entry'!$C$29:$O$29)-1))</f>
        <v/>
      </c>
      <c r="I38" s="18" t="n">
        <f aca="false">IF(COUNT('Data Entry'!$C$29:$O$29)=0,"",INDEX('Data Entry'!$C$29:$O$29,COUNT('Data Entry'!$C$29:$O$29)))</f>
        <v>0</v>
      </c>
      <c r="J38" s="16" t="str">
        <f aca="false">IF(COUNT('Data Entry'!$C$29:$O$29)=0,"No data",IF(COUNT('Data Entry'!$C$29:$O$29)=1,"Baseline",IF(I38=H38,"► Flat",IF((I38&gt;H38)=(F38="Higher"),"▲ Improving","▼ Worsening"))))</f>
        <v>Baseline</v>
      </c>
      <c r="K38" s="15" t="str">
        <f aca="false">IF(I38="","No data",IF(F38="Higher",IF(I38&gt;=M38,"Green",IF(I38&gt;=N38,"Amber","Red")),IF(I38&lt;=M38,"Green",IF(I38&lt;=N38,"Amber","Red"))))</f>
        <v>Red</v>
      </c>
      <c r="L38" s="19" t="n">
        <v>1</v>
      </c>
      <c r="M38" s="19" t="n">
        <v>0.95</v>
      </c>
      <c r="N38" s="19" t="n">
        <v>0.8</v>
      </c>
      <c r="O38" s="17" t="s">
        <v>38</v>
      </c>
      <c r="P38" s="16" t="s">
        <v>35</v>
      </c>
    </row>
    <row r="39" customFormat="false" ht="30" hidden="false" customHeight="true" outlineLevel="0" collapsed="false">
      <c r="A39" s="15" t="s">
        <v>99</v>
      </c>
      <c r="B39" s="16" t="s">
        <v>12</v>
      </c>
      <c r="C39" s="17" t="s">
        <v>100</v>
      </c>
      <c r="D39" s="16" t="s">
        <v>31</v>
      </c>
      <c r="E39" s="16" t="s">
        <v>32</v>
      </c>
      <c r="F39" s="16" t="s">
        <v>33</v>
      </c>
      <c r="G39" s="22" t="n">
        <f aca="false">IF('Data Entry'!C30="","",'Data Entry'!C30)</f>
        <v>0.996</v>
      </c>
      <c r="H39" s="22" t="str">
        <f aca="false">IF(COUNT('Data Entry'!$C$30:$O$30)&lt;2,"",INDEX('Data Entry'!$C$30:$O$30,COUNT('Data Entry'!$C$30:$O$30)-1))</f>
        <v/>
      </c>
      <c r="I39" s="22" t="n">
        <f aca="false">IF(COUNT('Data Entry'!$C$30:$O$30)=0,"",INDEX('Data Entry'!$C$30:$O$30,COUNT('Data Entry'!$C$30:$O$30)))</f>
        <v>0.996</v>
      </c>
      <c r="J39" s="16" t="str">
        <f aca="false">IF(COUNT('Data Entry'!$C$30:$O$30)=0,"No data",IF(COUNT('Data Entry'!$C$30:$O$30)=1,"Baseline",IF(I39=H39,"► Flat",IF((I39&gt;H39)=(F39="Higher"),"▲ Improving","▼ Worsening"))))</f>
        <v>Baseline</v>
      </c>
      <c r="K39" s="15" t="str">
        <f aca="false">IF(I39="","No data",IF(F39="Higher",IF(I39&gt;=M39,"Green",IF(I39&gt;=N39,"Amber","Red")),IF(I39&lt;=M39,"Green",IF(I39&lt;=N39,"Amber","Red"))))</f>
        <v>Amber</v>
      </c>
      <c r="L39" s="23" t="n">
        <v>0.999</v>
      </c>
      <c r="M39" s="23" t="n">
        <v>0.999</v>
      </c>
      <c r="N39" s="23" t="n">
        <v>0.995</v>
      </c>
      <c r="O39" s="17" t="s">
        <v>66</v>
      </c>
      <c r="P39" s="16" t="s">
        <v>44</v>
      </c>
    </row>
  </sheetData>
  <conditionalFormatting sqref="K14:K39">
    <cfRule type="cellIs" priority="2" operator="equal" aboveAverage="0" equalAverage="0" bottom="0" percent="0" rank="0" text="" dxfId="0">
      <formula>"Green"</formula>
    </cfRule>
    <cfRule type="cellIs" priority="3" operator="equal" aboveAverage="0" equalAverage="0" bottom="0" percent="0" rank="0" text="" dxfId="1">
      <formula>"Amber"</formula>
    </cfRule>
    <cfRule type="cellIs" priority="4" operator="equal" aboveAverage="0" equalAverage="0" bottom="0" percent="0" rank="0" text="" dxfId="2">
      <formula>"Red"</formula>
    </cfRule>
    <cfRule type="cellIs" priority="5" operator="equal" aboveAverage="0" equalAverage="0" bottom="0" percent="0" rank="0" text="" dxfId="3">
      <formula>"No data"</formula>
    </cfRule>
  </conditionalFormatting>
  <conditionalFormatting sqref="J14:J39">
    <cfRule type="expression" priority="6" aboveAverage="0" equalAverage="0" bottom="0" percent="0" rank="0" text="" dxfId="4">
      <formula>LEFT(J14,1)="▲"</formula>
    </cfRule>
    <cfRule type="expression" priority="7" aboveAverage="0" equalAverage="0" bottom="0" percent="0" rank="0" text="" dxfId="5">
      <formula>LEFT(J14,1)="▼"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3" min="3" style="0" width="13"/>
    <col collapsed="false" customWidth="true" hidden="false" outlineLevel="0" max="15" min="4" style="0" width="10"/>
    <col collapsed="false" customWidth="true" hidden="false" outlineLevel="0" max="16" min="16" style="0" width="8"/>
  </cols>
  <sheetData>
    <row r="1" customFormat="false" ht="17.35" hidden="false" customHeight="false" outlineLevel="0" collapsed="false">
      <c r="A1" s="24" t="s">
        <v>101</v>
      </c>
    </row>
    <row r="2" customFormat="false" ht="39.75" hidden="false" customHeight="true" outlineLevel="0" collapsed="false">
      <c r="A2" s="25" t="s">
        <v>102</v>
      </c>
      <c r="B2" s="25"/>
      <c r="C2" s="25"/>
      <c r="D2" s="25"/>
      <c r="E2" s="25"/>
      <c r="F2" s="25"/>
      <c r="G2" s="25"/>
      <c r="H2" s="25"/>
      <c r="I2" s="25"/>
      <c r="J2" s="25"/>
      <c r="K2" s="25"/>
      <c r="L2" s="25"/>
      <c r="M2" s="25"/>
      <c r="N2" s="25"/>
      <c r="O2" s="25"/>
      <c r="P2" s="25"/>
      <c r="Q2" s="25"/>
    </row>
    <row r="4" customFormat="false" ht="30" hidden="false" customHeight="true" outlineLevel="0" collapsed="false">
      <c r="A4" s="14" t="s">
        <v>14</v>
      </c>
      <c r="B4" s="14" t="s">
        <v>15</v>
      </c>
      <c r="C4" s="14" t="s">
        <v>103</v>
      </c>
      <c r="D4" s="14" t="s">
        <v>104</v>
      </c>
      <c r="E4" s="14" t="s">
        <v>105</v>
      </c>
      <c r="F4" s="14" t="s">
        <v>106</v>
      </c>
      <c r="G4" s="14" t="s">
        <v>107</v>
      </c>
      <c r="H4" s="14" t="s">
        <v>108</v>
      </c>
      <c r="I4" s="14" t="s">
        <v>109</v>
      </c>
      <c r="J4" s="14" t="s">
        <v>110</v>
      </c>
      <c r="K4" s="14" t="s">
        <v>111</v>
      </c>
      <c r="L4" s="14" t="s">
        <v>112</v>
      </c>
      <c r="M4" s="14" t="s">
        <v>113</v>
      </c>
      <c r="N4" s="14" t="s">
        <v>114</v>
      </c>
      <c r="O4" s="14" t="s">
        <v>115</v>
      </c>
      <c r="P4" s="14" t="s">
        <v>116</v>
      </c>
    </row>
    <row r="5" customFormat="false" ht="15" hidden="false" customHeight="false" outlineLevel="0" collapsed="false">
      <c r="A5" s="9" t="s">
        <v>29</v>
      </c>
      <c r="B5" s="26" t="s">
        <v>30</v>
      </c>
      <c r="C5" s="27" t="n">
        <v>0</v>
      </c>
      <c r="D5" s="28"/>
      <c r="E5" s="28"/>
      <c r="F5" s="28"/>
      <c r="G5" s="28"/>
      <c r="H5" s="28"/>
      <c r="I5" s="28"/>
      <c r="J5" s="28"/>
      <c r="K5" s="28"/>
      <c r="L5" s="28"/>
      <c r="M5" s="28"/>
      <c r="N5" s="28"/>
      <c r="O5" s="28"/>
      <c r="P5" s="10" t="s">
        <v>117</v>
      </c>
    </row>
    <row r="6" customFormat="false" ht="15" hidden="false" customHeight="false" outlineLevel="0" collapsed="false">
      <c r="A6" s="9" t="s">
        <v>36</v>
      </c>
      <c r="B6" s="26" t="s">
        <v>37</v>
      </c>
      <c r="C6" s="27" t="n">
        <v>0</v>
      </c>
      <c r="D6" s="28"/>
      <c r="E6" s="28"/>
      <c r="F6" s="28"/>
      <c r="G6" s="28"/>
      <c r="H6" s="28"/>
      <c r="I6" s="28"/>
      <c r="J6" s="28"/>
      <c r="K6" s="28"/>
      <c r="L6" s="28"/>
      <c r="M6" s="28"/>
      <c r="N6" s="28"/>
      <c r="O6" s="28"/>
      <c r="P6" s="10" t="s">
        <v>117</v>
      </c>
    </row>
    <row r="7" customFormat="false" ht="15" hidden="false" customHeight="false" outlineLevel="0" collapsed="false">
      <c r="A7" s="9" t="s">
        <v>39</v>
      </c>
      <c r="B7" s="26" t="s">
        <v>40</v>
      </c>
      <c r="C7" s="27"/>
      <c r="D7" s="28"/>
      <c r="E7" s="28"/>
      <c r="F7" s="28"/>
      <c r="G7" s="28"/>
      <c r="H7" s="28"/>
      <c r="I7" s="28"/>
      <c r="J7" s="28"/>
      <c r="K7" s="28"/>
      <c r="L7" s="28"/>
      <c r="M7" s="28"/>
      <c r="N7" s="28"/>
      <c r="O7" s="28"/>
      <c r="P7" s="10" t="s">
        <v>118</v>
      </c>
    </row>
    <row r="8" customFormat="false" ht="15" hidden="false" customHeight="false" outlineLevel="0" collapsed="false">
      <c r="A8" s="9" t="s">
        <v>42</v>
      </c>
      <c r="B8" s="26" t="s">
        <v>43</v>
      </c>
      <c r="C8" s="27" t="n">
        <v>1</v>
      </c>
      <c r="D8" s="28"/>
      <c r="E8" s="28"/>
      <c r="F8" s="28"/>
      <c r="G8" s="28"/>
      <c r="H8" s="28"/>
      <c r="I8" s="28"/>
      <c r="J8" s="28"/>
      <c r="K8" s="28"/>
      <c r="L8" s="28"/>
      <c r="M8" s="28"/>
      <c r="N8" s="28"/>
      <c r="O8" s="28"/>
      <c r="P8" s="10" t="s">
        <v>117</v>
      </c>
    </row>
    <row r="9" customFormat="false" ht="15" hidden="false" customHeight="false" outlineLevel="0" collapsed="false">
      <c r="A9" s="9" t="s">
        <v>45</v>
      </c>
      <c r="B9" s="26" t="s">
        <v>46</v>
      </c>
      <c r="C9" s="27" t="n">
        <v>0</v>
      </c>
      <c r="D9" s="28"/>
      <c r="E9" s="28"/>
      <c r="F9" s="28"/>
      <c r="G9" s="28"/>
      <c r="H9" s="28"/>
      <c r="I9" s="28"/>
      <c r="J9" s="28"/>
      <c r="K9" s="28"/>
      <c r="L9" s="28"/>
      <c r="M9" s="28"/>
      <c r="N9" s="28"/>
      <c r="O9" s="28"/>
      <c r="P9" s="10" t="s">
        <v>117</v>
      </c>
    </row>
    <row r="10" customFormat="false" ht="15" hidden="false" customHeight="false" outlineLevel="0" collapsed="false">
      <c r="A10" s="9" t="s">
        <v>48</v>
      </c>
      <c r="B10" s="26" t="s">
        <v>49</v>
      </c>
      <c r="C10" s="27" t="n">
        <v>0.58</v>
      </c>
      <c r="D10" s="28"/>
      <c r="E10" s="28"/>
      <c r="F10" s="28"/>
      <c r="G10" s="28"/>
      <c r="H10" s="28"/>
      <c r="I10" s="28"/>
      <c r="J10" s="28"/>
      <c r="K10" s="28"/>
      <c r="L10" s="28"/>
      <c r="M10" s="28"/>
      <c r="N10" s="28"/>
      <c r="O10" s="28"/>
      <c r="P10" s="10" t="s">
        <v>119</v>
      </c>
    </row>
    <row r="11" customFormat="false" ht="15" hidden="false" customHeight="false" outlineLevel="0" collapsed="false">
      <c r="A11" s="9" t="s">
        <v>51</v>
      </c>
      <c r="B11" s="26" t="s">
        <v>52</v>
      </c>
      <c r="C11" s="29" t="n">
        <v>3</v>
      </c>
      <c r="D11" s="30"/>
      <c r="E11" s="30"/>
      <c r="F11" s="30"/>
      <c r="G11" s="30"/>
      <c r="H11" s="30"/>
      <c r="I11" s="30"/>
      <c r="J11" s="30"/>
      <c r="K11" s="30"/>
      <c r="L11" s="30"/>
      <c r="M11" s="30"/>
      <c r="N11" s="30"/>
      <c r="O11" s="30"/>
      <c r="P11" s="10" t="s">
        <v>119</v>
      </c>
    </row>
    <row r="12" customFormat="false" ht="15" hidden="false" customHeight="false" outlineLevel="0" collapsed="false">
      <c r="A12" s="9" t="s">
        <v>57</v>
      </c>
      <c r="B12" s="26" t="s">
        <v>58</v>
      </c>
      <c r="C12" s="27" t="n">
        <v>0</v>
      </c>
      <c r="D12" s="28"/>
      <c r="E12" s="28"/>
      <c r="F12" s="28"/>
      <c r="G12" s="28"/>
      <c r="H12" s="28"/>
      <c r="I12" s="28"/>
      <c r="J12" s="28"/>
      <c r="K12" s="28"/>
      <c r="L12" s="28"/>
      <c r="M12" s="28"/>
      <c r="N12" s="28"/>
      <c r="O12" s="28"/>
      <c r="P12" s="10" t="s">
        <v>117</v>
      </c>
    </row>
    <row r="13" customFormat="false" ht="15" hidden="false" customHeight="false" outlineLevel="0" collapsed="false">
      <c r="A13" s="9" t="s">
        <v>59</v>
      </c>
      <c r="B13" s="26" t="s">
        <v>60</v>
      </c>
      <c r="C13" s="29" t="n">
        <v>90</v>
      </c>
      <c r="D13" s="30"/>
      <c r="E13" s="30"/>
      <c r="F13" s="30"/>
      <c r="G13" s="30"/>
      <c r="H13" s="30"/>
      <c r="I13" s="30"/>
      <c r="J13" s="30"/>
      <c r="K13" s="30"/>
      <c r="L13" s="30"/>
      <c r="M13" s="30"/>
      <c r="N13" s="30"/>
      <c r="O13" s="30"/>
      <c r="P13" s="10" t="s">
        <v>119</v>
      </c>
    </row>
    <row r="14" customFormat="false" ht="15" hidden="false" customHeight="false" outlineLevel="0" collapsed="false">
      <c r="A14" s="9" t="s">
        <v>62</v>
      </c>
      <c r="B14" s="26" t="s">
        <v>63</v>
      </c>
      <c r="C14" s="27" t="n">
        <v>0</v>
      </c>
      <c r="D14" s="28"/>
      <c r="E14" s="28"/>
      <c r="F14" s="28"/>
      <c r="G14" s="28"/>
      <c r="H14" s="28"/>
      <c r="I14" s="28"/>
      <c r="J14" s="28"/>
      <c r="K14" s="28"/>
      <c r="L14" s="28"/>
      <c r="M14" s="28"/>
      <c r="N14" s="28"/>
      <c r="O14" s="28"/>
      <c r="P14" s="10" t="s">
        <v>117</v>
      </c>
    </row>
    <row r="15" customFormat="false" ht="15" hidden="false" customHeight="false" outlineLevel="0" collapsed="false">
      <c r="A15" s="9" t="s">
        <v>64</v>
      </c>
      <c r="B15" s="26" t="s">
        <v>65</v>
      </c>
      <c r="C15" s="29" t="n">
        <v>42</v>
      </c>
      <c r="D15" s="30"/>
      <c r="E15" s="30"/>
      <c r="F15" s="30"/>
      <c r="G15" s="30"/>
      <c r="H15" s="30"/>
      <c r="I15" s="30"/>
      <c r="J15" s="30"/>
      <c r="K15" s="30"/>
      <c r="L15" s="30"/>
      <c r="M15" s="30"/>
      <c r="N15" s="30"/>
      <c r="O15" s="30"/>
      <c r="P15" s="10" t="s">
        <v>117</v>
      </c>
    </row>
    <row r="16" customFormat="false" ht="15" hidden="false" customHeight="false" outlineLevel="0" collapsed="false">
      <c r="A16" s="9" t="s">
        <v>67</v>
      </c>
      <c r="B16" s="26" t="s">
        <v>68</v>
      </c>
      <c r="C16" s="27" t="n">
        <v>0</v>
      </c>
      <c r="D16" s="28"/>
      <c r="E16" s="28"/>
      <c r="F16" s="28"/>
      <c r="G16" s="28"/>
      <c r="H16" s="28"/>
      <c r="I16" s="28"/>
      <c r="J16" s="28"/>
      <c r="K16" s="28"/>
      <c r="L16" s="28"/>
      <c r="M16" s="28"/>
      <c r="N16" s="28"/>
      <c r="O16" s="28"/>
      <c r="P16" s="10" t="s">
        <v>119</v>
      </c>
    </row>
    <row r="17" customFormat="false" ht="15" hidden="false" customHeight="false" outlineLevel="0" collapsed="false">
      <c r="A17" s="9" t="s">
        <v>70</v>
      </c>
      <c r="B17" s="26" t="s">
        <v>71</v>
      </c>
      <c r="C17" s="29" t="n">
        <v>1</v>
      </c>
      <c r="D17" s="30"/>
      <c r="E17" s="30"/>
      <c r="F17" s="30"/>
      <c r="G17" s="30"/>
      <c r="H17" s="30"/>
      <c r="I17" s="30"/>
      <c r="J17" s="30"/>
      <c r="K17" s="30"/>
      <c r="L17" s="30"/>
      <c r="M17" s="30"/>
      <c r="N17" s="30"/>
      <c r="O17" s="30"/>
      <c r="P17" s="10" t="s">
        <v>119</v>
      </c>
    </row>
    <row r="18" customFormat="false" ht="15" hidden="false" customHeight="false" outlineLevel="0" collapsed="false">
      <c r="A18" s="9" t="s">
        <v>72</v>
      </c>
      <c r="B18" s="26" t="s">
        <v>73</v>
      </c>
      <c r="C18" s="27" t="n">
        <v>0.78</v>
      </c>
      <c r="D18" s="28"/>
      <c r="E18" s="28"/>
      <c r="F18" s="28"/>
      <c r="G18" s="28"/>
      <c r="H18" s="28"/>
      <c r="I18" s="28"/>
      <c r="J18" s="28"/>
      <c r="K18" s="28"/>
      <c r="L18" s="28"/>
      <c r="M18" s="28"/>
      <c r="N18" s="28"/>
      <c r="O18" s="28"/>
      <c r="P18" s="10" t="s">
        <v>119</v>
      </c>
    </row>
    <row r="19" customFormat="false" ht="15" hidden="false" customHeight="false" outlineLevel="0" collapsed="false">
      <c r="A19" s="9" t="s">
        <v>74</v>
      </c>
      <c r="B19" s="26" t="s">
        <v>75</v>
      </c>
      <c r="C19" s="27" t="n">
        <v>0.25</v>
      </c>
      <c r="D19" s="28"/>
      <c r="E19" s="28"/>
      <c r="F19" s="28"/>
      <c r="G19" s="28"/>
      <c r="H19" s="28"/>
      <c r="I19" s="28"/>
      <c r="J19" s="28"/>
      <c r="K19" s="28"/>
      <c r="L19" s="28"/>
      <c r="M19" s="28"/>
      <c r="N19" s="28"/>
      <c r="O19" s="28"/>
      <c r="P19" s="10" t="s">
        <v>117</v>
      </c>
    </row>
    <row r="20" customFormat="false" ht="15" hidden="false" customHeight="false" outlineLevel="0" collapsed="false">
      <c r="A20" s="9" t="s">
        <v>76</v>
      </c>
      <c r="B20" s="26" t="s">
        <v>77</v>
      </c>
      <c r="C20" s="27" t="n">
        <v>0.92</v>
      </c>
      <c r="D20" s="28"/>
      <c r="E20" s="28"/>
      <c r="F20" s="28"/>
      <c r="G20" s="28"/>
      <c r="H20" s="28"/>
      <c r="I20" s="28"/>
      <c r="J20" s="28"/>
      <c r="K20" s="28"/>
      <c r="L20" s="28"/>
      <c r="M20" s="28"/>
      <c r="N20" s="28"/>
      <c r="O20" s="28"/>
      <c r="P20" s="10" t="s">
        <v>119</v>
      </c>
    </row>
    <row r="21" customFormat="false" ht="15" hidden="false" customHeight="false" outlineLevel="0" collapsed="false">
      <c r="A21" s="9" t="s">
        <v>78</v>
      </c>
      <c r="B21" s="26" t="s">
        <v>79</v>
      </c>
      <c r="C21" s="27" t="n">
        <v>0.6</v>
      </c>
      <c r="D21" s="28"/>
      <c r="E21" s="28"/>
      <c r="F21" s="28"/>
      <c r="G21" s="28"/>
      <c r="H21" s="28"/>
      <c r="I21" s="28"/>
      <c r="J21" s="28"/>
      <c r="K21" s="28"/>
      <c r="L21" s="28"/>
      <c r="M21" s="28"/>
      <c r="N21" s="28"/>
      <c r="O21" s="28"/>
      <c r="P21" s="10" t="s">
        <v>119</v>
      </c>
    </row>
    <row r="22" customFormat="false" ht="15" hidden="false" customHeight="false" outlineLevel="0" collapsed="false">
      <c r="A22" s="9" t="s">
        <v>80</v>
      </c>
      <c r="B22" s="26" t="s">
        <v>81</v>
      </c>
      <c r="C22" s="27" t="n">
        <v>0.65</v>
      </c>
      <c r="D22" s="28"/>
      <c r="E22" s="28"/>
      <c r="F22" s="28"/>
      <c r="G22" s="28"/>
      <c r="H22" s="28"/>
      <c r="I22" s="28"/>
      <c r="J22" s="28"/>
      <c r="K22" s="28"/>
      <c r="L22" s="28"/>
      <c r="M22" s="28"/>
      <c r="N22" s="28"/>
      <c r="O22" s="28"/>
      <c r="P22" s="10" t="s">
        <v>119</v>
      </c>
    </row>
    <row r="23" customFormat="false" ht="15" hidden="false" customHeight="false" outlineLevel="0" collapsed="false">
      <c r="A23" s="9" t="s">
        <v>82</v>
      </c>
      <c r="B23" s="26" t="s">
        <v>83</v>
      </c>
      <c r="C23" s="27" t="n">
        <v>0</v>
      </c>
      <c r="D23" s="28"/>
      <c r="E23" s="28"/>
      <c r="F23" s="28"/>
      <c r="G23" s="28"/>
      <c r="H23" s="28"/>
      <c r="I23" s="28"/>
      <c r="J23" s="28"/>
      <c r="K23" s="28"/>
      <c r="L23" s="28"/>
      <c r="M23" s="28"/>
      <c r="N23" s="28"/>
      <c r="O23" s="28"/>
      <c r="P23" s="10" t="s">
        <v>117</v>
      </c>
    </row>
    <row r="24" customFormat="false" ht="15" hidden="false" customHeight="false" outlineLevel="0" collapsed="false">
      <c r="A24" s="9" t="s">
        <v>84</v>
      </c>
      <c r="B24" s="26" t="s">
        <v>85</v>
      </c>
      <c r="C24" s="29" t="n">
        <v>12</v>
      </c>
      <c r="D24" s="30"/>
      <c r="E24" s="30"/>
      <c r="F24" s="30"/>
      <c r="G24" s="30"/>
      <c r="H24" s="30"/>
      <c r="I24" s="30"/>
      <c r="J24" s="30"/>
      <c r="K24" s="30"/>
      <c r="L24" s="30"/>
      <c r="M24" s="30"/>
      <c r="N24" s="30"/>
      <c r="O24" s="30"/>
      <c r="P24" s="10" t="s">
        <v>119</v>
      </c>
    </row>
    <row r="25" customFormat="false" ht="15" hidden="false" customHeight="false" outlineLevel="0" collapsed="false">
      <c r="A25" s="9" t="s">
        <v>86</v>
      </c>
      <c r="B25" s="26" t="s">
        <v>87</v>
      </c>
      <c r="C25" s="27" t="n">
        <v>0.85</v>
      </c>
      <c r="D25" s="28"/>
      <c r="E25" s="28"/>
      <c r="F25" s="28"/>
      <c r="G25" s="28"/>
      <c r="H25" s="28"/>
      <c r="I25" s="28"/>
      <c r="J25" s="28"/>
      <c r="K25" s="28"/>
      <c r="L25" s="28"/>
      <c r="M25" s="28"/>
      <c r="N25" s="28"/>
      <c r="O25" s="28"/>
      <c r="P25" s="10" t="s">
        <v>119</v>
      </c>
    </row>
    <row r="26" customFormat="false" ht="15" hidden="false" customHeight="false" outlineLevel="0" collapsed="false">
      <c r="A26" s="9" t="s">
        <v>88</v>
      </c>
      <c r="B26" s="26" t="s">
        <v>89</v>
      </c>
      <c r="C26" s="27" t="n">
        <v>0.5</v>
      </c>
      <c r="D26" s="28"/>
      <c r="E26" s="28"/>
      <c r="F26" s="28"/>
      <c r="G26" s="28"/>
      <c r="H26" s="28"/>
      <c r="I26" s="28"/>
      <c r="J26" s="28"/>
      <c r="K26" s="28"/>
      <c r="L26" s="28"/>
      <c r="M26" s="28"/>
      <c r="N26" s="28"/>
      <c r="O26" s="28"/>
      <c r="P26" s="10" t="s">
        <v>119</v>
      </c>
    </row>
    <row r="27" customFormat="false" ht="15" hidden="false" customHeight="false" outlineLevel="0" collapsed="false">
      <c r="A27" s="9" t="s">
        <v>91</v>
      </c>
      <c r="B27" s="26" t="s">
        <v>92</v>
      </c>
      <c r="C27" s="29" t="n">
        <v>16</v>
      </c>
      <c r="D27" s="30"/>
      <c r="E27" s="30"/>
      <c r="F27" s="30"/>
      <c r="G27" s="30"/>
      <c r="H27" s="30"/>
      <c r="I27" s="30"/>
      <c r="J27" s="30"/>
      <c r="K27" s="30"/>
      <c r="L27" s="30"/>
      <c r="M27" s="30"/>
      <c r="N27" s="30"/>
      <c r="O27" s="30"/>
      <c r="P27" s="10" t="s">
        <v>119</v>
      </c>
    </row>
    <row r="28" customFormat="false" ht="15" hidden="false" customHeight="false" outlineLevel="0" collapsed="false">
      <c r="A28" s="9" t="s">
        <v>94</v>
      </c>
      <c r="B28" s="26" t="s">
        <v>95</v>
      </c>
      <c r="C28" s="29" t="n">
        <v>8</v>
      </c>
      <c r="D28" s="30"/>
      <c r="E28" s="30"/>
      <c r="F28" s="30"/>
      <c r="G28" s="30"/>
      <c r="H28" s="30"/>
      <c r="I28" s="30"/>
      <c r="J28" s="30"/>
      <c r="K28" s="30"/>
      <c r="L28" s="30"/>
      <c r="M28" s="30"/>
      <c r="N28" s="30"/>
      <c r="O28" s="30"/>
      <c r="P28" s="10" t="s">
        <v>117</v>
      </c>
    </row>
    <row r="29" customFormat="false" ht="15" hidden="false" customHeight="false" outlineLevel="0" collapsed="false">
      <c r="A29" s="9" t="s">
        <v>97</v>
      </c>
      <c r="B29" s="26" t="s">
        <v>98</v>
      </c>
      <c r="C29" s="27" t="n">
        <v>0</v>
      </c>
      <c r="D29" s="28"/>
      <c r="E29" s="28"/>
      <c r="F29" s="28"/>
      <c r="G29" s="28"/>
      <c r="H29" s="28"/>
      <c r="I29" s="28"/>
      <c r="J29" s="28"/>
      <c r="K29" s="28"/>
      <c r="L29" s="28"/>
      <c r="M29" s="28"/>
      <c r="N29" s="28"/>
      <c r="O29" s="28"/>
      <c r="P29" s="10" t="s">
        <v>117</v>
      </c>
    </row>
    <row r="30" customFormat="false" ht="15" hidden="false" customHeight="false" outlineLevel="0" collapsed="false">
      <c r="A30" s="9" t="s">
        <v>99</v>
      </c>
      <c r="B30" s="26" t="s">
        <v>100</v>
      </c>
      <c r="C30" s="31" t="n">
        <v>0.996</v>
      </c>
      <c r="D30" s="32"/>
      <c r="E30" s="32"/>
      <c r="F30" s="32"/>
      <c r="G30" s="32"/>
      <c r="H30" s="32"/>
      <c r="I30" s="32"/>
      <c r="J30" s="32"/>
      <c r="K30" s="32"/>
      <c r="L30" s="32"/>
      <c r="M30" s="32"/>
      <c r="N30" s="32"/>
      <c r="O30" s="32"/>
      <c r="P30" s="10" t="s">
        <v>119</v>
      </c>
    </row>
  </sheetData>
  <mergeCells count="1">
    <mergeCell ref="A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34"/>
    <col collapsed="false" customWidth="true" hidden="false" outlineLevel="0" max="4" min="4" style="0" width="6"/>
    <col collapsed="false" customWidth="true" hidden="false" outlineLevel="0" max="6" min="5" style="0" width="44"/>
    <col collapsed="false" customWidth="true" hidden="false" outlineLevel="0" max="7" min="7" style="0" width="30"/>
    <col collapsed="false" customWidth="true" hidden="false" outlineLevel="0" max="9" min="8" style="0" width="11"/>
    <col collapsed="false" customWidth="true" hidden="false" outlineLevel="0" max="10" min="10" style="0" width="34"/>
    <col collapsed="false" customWidth="true" hidden="false" outlineLevel="0" max="11" min="11" style="0" width="24"/>
    <col collapsed="false" customWidth="true" hidden="false" outlineLevel="0" max="12" min="12" style="0" width="9"/>
    <col collapsed="false" customWidth="true" hidden="false" outlineLevel="0" max="13" min="13" style="0" width="10"/>
    <col collapsed="false" customWidth="true" hidden="false" outlineLevel="0" max="14" min="14" style="0" width="9"/>
    <col collapsed="false" customWidth="true" hidden="false" outlineLevel="0" max="15" min="15" style="0" width="48"/>
  </cols>
  <sheetData>
    <row r="1" customFormat="false" ht="17.35" hidden="false" customHeight="false" outlineLevel="0" collapsed="false">
      <c r="A1" s="24" t="s">
        <v>120</v>
      </c>
    </row>
    <row r="3" customFormat="false" ht="23.85" hidden="false" customHeight="false" outlineLevel="0" collapsed="false">
      <c r="A3" s="14" t="s">
        <v>14</v>
      </c>
      <c r="B3" s="14" t="s">
        <v>3</v>
      </c>
      <c r="C3" s="14" t="s">
        <v>15</v>
      </c>
      <c r="D3" s="14" t="s">
        <v>16</v>
      </c>
      <c r="E3" s="14" t="s">
        <v>121</v>
      </c>
      <c r="F3" s="14" t="s">
        <v>122</v>
      </c>
      <c r="G3" s="14" t="s">
        <v>123</v>
      </c>
      <c r="H3" s="14" t="s">
        <v>28</v>
      </c>
      <c r="I3" s="14" t="s">
        <v>24</v>
      </c>
      <c r="J3" s="14" t="s">
        <v>124</v>
      </c>
      <c r="K3" s="14" t="s">
        <v>27</v>
      </c>
      <c r="L3" s="14" t="s">
        <v>125</v>
      </c>
      <c r="M3" s="14" t="s">
        <v>19</v>
      </c>
      <c r="N3" s="14" t="s">
        <v>116</v>
      </c>
      <c r="O3" s="14" t="s">
        <v>126</v>
      </c>
    </row>
    <row r="4" customFormat="false" ht="35.05" hidden="false" customHeight="false" outlineLevel="0" collapsed="false">
      <c r="A4" s="33" t="s">
        <v>29</v>
      </c>
      <c r="B4" s="34" t="s">
        <v>9</v>
      </c>
      <c r="C4" s="34" t="s">
        <v>30</v>
      </c>
      <c r="D4" s="34" t="s">
        <v>31</v>
      </c>
      <c r="E4" s="34" t="s">
        <v>127</v>
      </c>
      <c r="F4" s="34" t="s">
        <v>128</v>
      </c>
      <c r="G4" s="34" t="s">
        <v>129</v>
      </c>
      <c r="H4" s="34" t="s">
        <v>35</v>
      </c>
      <c r="I4" s="34" t="s">
        <v>130</v>
      </c>
      <c r="J4" s="34" t="s">
        <v>131</v>
      </c>
      <c r="K4" s="34" t="s">
        <v>34</v>
      </c>
      <c r="L4" s="34" t="s">
        <v>132</v>
      </c>
      <c r="M4" s="34" t="s">
        <v>133</v>
      </c>
      <c r="N4" s="34" t="s">
        <v>134</v>
      </c>
      <c r="O4" s="34" t="s">
        <v>135</v>
      </c>
    </row>
    <row r="5" customFormat="false" ht="57.45" hidden="false" customHeight="false" outlineLevel="0" collapsed="false">
      <c r="A5" s="33" t="s">
        <v>36</v>
      </c>
      <c r="B5" s="34" t="s">
        <v>9</v>
      </c>
      <c r="C5" s="34" t="s">
        <v>37</v>
      </c>
      <c r="D5" s="34" t="s">
        <v>31</v>
      </c>
      <c r="E5" s="34" t="s">
        <v>136</v>
      </c>
      <c r="F5" s="34" t="s">
        <v>137</v>
      </c>
      <c r="G5" s="34" t="s">
        <v>138</v>
      </c>
      <c r="H5" s="34" t="s">
        <v>35</v>
      </c>
      <c r="I5" s="34" t="s">
        <v>130</v>
      </c>
      <c r="J5" s="34" t="s">
        <v>139</v>
      </c>
      <c r="K5" s="34" t="s">
        <v>38</v>
      </c>
      <c r="L5" s="34" t="s">
        <v>132</v>
      </c>
      <c r="M5" s="34" t="s">
        <v>133</v>
      </c>
      <c r="N5" s="34" t="s">
        <v>134</v>
      </c>
      <c r="O5" s="34" t="s">
        <v>140</v>
      </c>
    </row>
    <row r="6" customFormat="false" ht="35.05" hidden="false" customHeight="false" outlineLevel="0" collapsed="false">
      <c r="A6" s="33" t="s">
        <v>39</v>
      </c>
      <c r="B6" s="34" t="s">
        <v>9</v>
      </c>
      <c r="C6" s="34" t="s">
        <v>40</v>
      </c>
      <c r="D6" s="34" t="s">
        <v>31</v>
      </c>
      <c r="E6" s="34" t="s">
        <v>141</v>
      </c>
      <c r="F6" s="34" t="s">
        <v>142</v>
      </c>
      <c r="G6" s="34" t="s">
        <v>143</v>
      </c>
      <c r="H6" s="34" t="s">
        <v>35</v>
      </c>
      <c r="I6" s="34" t="s">
        <v>144</v>
      </c>
      <c r="J6" s="34" t="s">
        <v>145</v>
      </c>
      <c r="K6" s="34" t="s">
        <v>41</v>
      </c>
      <c r="L6" s="34" t="s">
        <v>132</v>
      </c>
      <c r="M6" s="34" t="s">
        <v>118</v>
      </c>
      <c r="N6" s="34" t="s">
        <v>146</v>
      </c>
      <c r="O6" s="34" t="s">
        <v>147</v>
      </c>
    </row>
    <row r="7" customFormat="false" ht="35.05" hidden="false" customHeight="false" outlineLevel="0" collapsed="false">
      <c r="A7" s="33" t="s">
        <v>42</v>
      </c>
      <c r="B7" s="34" t="s">
        <v>9</v>
      </c>
      <c r="C7" s="34" t="s">
        <v>43</v>
      </c>
      <c r="D7" s="34" t="s">
        <v>31</v>
      </c>
      <c r="E7" s="34" t="s">
        <v>148</v>
      </c>
      <c r="F7" s="34" t="s">
        <v>149</v>
      </c>
      <c r="G7" s="34" t="s">
        <v>150</v>
      </c>
      <c r="H7" s="34" t="s">
        <v>44</v>
      </c>
      <c r="I7" s="34" t="s">
        <v>151</v>
      </c>
      <c r="J7" s="34" t="s">
        <v>131</v>
      </c>
      <c r="K7" s="34" t="s">
        <v>38</v>
      </c>
      <c r="L7" s="34" t="s">
        <v>132</v>
      </c>
      <c r="M7" s="34" t="s">
        <v>130</v>
      </c>
      <c r="N7" s="34" t="s">
        <v>134</v>
      </c>
      <c r="O7" s="34" t="s">
        <v>152</v>
      </c>
    </row>
    <row r="8" customFormat="false" ht="35.05" hidden="false" customHeight="false" outlineLevel="0" collapsed="false">
      <c r="A8" s="33" t="s">
        <v>45</v>
      </c>
      <c r="B8" s="34" t="s">
        <v>9</v>
      </c>
      <c r="C8" s="34" t="s">
        <v>46</v>
      </c>
      <c r="D8" s="34" t="s">
        <v>31</v>
      </c>
      <c r="E8" s="34" t="s">
        <v>153</v>
      </c>
      <c r="F8" s="34" t="s">
        <v>154</v>
      </c>
      <c r="G8" s="34" t="s">
        <v>155</v>
      </c>
      <c r="H8" s="34" t="s">
        <v>44</v>
      </c>
      <c r="I8" s="34" t="s">
        <v>130</v>
      </c>
      <c r="J8" s="34" t="s">
        <v>156</v>
      </c>
      <c r="K8" s="34" t="s">
        <v>47</v>
      </c>
      <c r="L8" s="34" t="s">
        <v>157</v>
      </c>
      <c r="M8" s="34" t="s">
        <v>133</v>
      </c>
      <c r="N8" s="34" t="s">
        <v>134</v>
      </c>
      <c r="O8" s="34" t="s">
        <v>158</v>
      </c>
    </row>
    <row r="9" customFormat="false" ht="35.05" hidden="false" customHeight="false" outlineLevel="0" collapsed="false">
      <c r="A9" s="33" t="s">
        <v>48</v>
      </c>
      <c r="B9" s="34" t="s">
        <v>9</v>
      </c>
      <c r="C9" s="34" t="s">
        <v>49</v>
      </c>
      <c r="D9" s="34" t="s">
        <v>31</v>
      </c>
      <c r="E9" s="34" t="s">
        <v>159</v>
      </c>
      <c r="F9" s="34" t="s">
        <v>160</v>
      </c>
      <c r="G9" s="34" t="s">
        <v>161</v>
      </c>
      <c r="H9" s="34" t="s">
        <v>35</v>
      </c>
      <c r="I9" s="34" t="s">
        <v>151</v>
      </c>
      <c r="J9" s="34" t="s">
        <v>162</v>
      </c>
      <c r="K9" s="34" t="s">
        <v>50</v>
      </c>
      <c r="L9" s="34" t="s">
        <v>163</v>
      </c>
      <c r="M9" s="34" t="s">
        <v>164</v>
      </c>
      <c r="N9" s="34" t="s">
        <v>165</v>
      </c>
      <c r="O9" s="34" t="s">
        <v>166</v>
      </c>
    </row>
    <row r="10" customFormat="false" ht="35.05" hidden="false" customHeight="false" outlineLevel="0" collapsed="false">
      <c r="A10" s="33" t="s">
        <v>51</v>
      </c>
      <c r="B10" s="34" t="s">
        <v>10</v>
      </c>
      <c r="C10" s="34" t="s">
        <v>52</v>
      </c>
      <c r="D10" s="34" t="s">
        <v>53</v>
      </c>
      <c r="E10" s="34" t="s">
        <v>167</v>
      </c>
      <c r="F10" s="34" t="s">
        <v>168</v>
      </c>
      <c r="G10" s="34" t="s">
        <v>169</v>
      </c>
      <c r="H10" s="34" t="s">
        <v>44</v>
      </c>
      <c r="I10" s="34" t="s">
        <v>170</v>
      </c>
      <c r="J10" s="34" t="s">
        <v>171</v>
      </c>
      <c r="K10" s="34" t="s">
        <v>56</v>
      </c>
      <c r="L10" s="34" t="s">
        <v>163</v>
      </c>
      <c r="M10" s="34" t="s">
        <v>172</v>
      </c>
      <c r="N10" s="34" t="s">
        <v>165</v>
      </c>
      <c r="O10" s="34" t="s">
        <v>173</v>
      </c>
    </row>
    <row r="11" customFormat="false" ht="23.85" hidden="false" customHeight="false" outlineLevel="0" collapsed="false">
      <c r="A11" s="33" t="s">
        <v>57</v>
      </c>
      <c r="B11" s="34" t="s">
        <v>10</v>
      </c>
      <c r="C11" s="34" t="s">
        <v>58</v>
      </c>
      <c r="D11" s="34" t="s">
        <v>31</v>
      </c>
      <c r="E11" s="34" t="s">
        <v>174</v>
      </c>
      <c r="F11" s="34" t="s">
        <v>175</v>
      </c>
      <c r="G11" s="34" t="s">
        <v>169</v>
      </c>
      <c r="H11" s="34" t="s">
        <v>44</v>
      </c>
      <c r="I11" s="34" t="s">
        <v>130</v>
      </c>
      <c r="J11" s="34" t="s">
        <v>176</v>
      </c>
      <c r="K11" s="34" t="s">
        <v>38</v>
      </c>
      <c r="L11" s="34" t="s">
        <v>132</v>
      </c>
      <c r="M11" s="34" t="s">
        <v>133</v>
      </c>
      <c r="N11" s="34" t="s">
        <v>134</v>
      </c>
      <c r="O11" s="34" t="s">
        <v>177</v>
      </c>
    </row>
    <row r="12" customFormat="false" ht="35.05" hidden="false" customHeight="false" outlineLevel="0" collapsed="false">
      <c r="A12" s="33" t="s">
        <v>59</v>
      </c>
      <c r="B12" s="34" t="s">
        <v>10</v>
      </c>
      <c r="C12" s="34" t="s">
        <v>60</v>
      </c>
      <c r="D12" s="34" t="s">
        <v>31</v>
      </c>
      <c r="E12" s="34" t="s">
        <v>178</v>
      </c>
      <c r="F12" s="34" t="s">
        <v>179</v>
      </c>
      <c r="G12" s="34" t="s">
        <v>180</v>
      </c>
      <c r="H12" s="34" t="s">
        <v>35</v>
      </c>
      <c r="I12" s="34" t="s">
        <v>181</v>
      </c>
      <c r="J12" s="34" t="s">
        <v>182</v>
      </c>
      <c r="K12" s="34" t="s">
        <v>38</v>
      </c>
      <c r="L12" s="34" t="s">
        <v>183</v>
      </c>
      <c r="M12" s="34" t="s">
        <v>184</v>
      </c>
      <c r="N12" s="34" t="s">
        <v>165</v>
      </c>
      <c r="O12" s="34" t="s">
        <v>185</v>
      </c>
    </row>
    <row r="13" customFormat="false" ht="23.85" hidden="false" customHeight="false" outlineLevel="0" collapsed="false">
      <c r="A13" s="33" t="s">
        <v>62</v>
      </c>
      <c r="B13" s="34" t="s">
        <v>10</v>
      </c>
      <c r="C13" s="34" t="s">
        <v>63</v>
      </c>
      <c r="D13" s="34" t="s">
        <v>31</v>
      </c>
      <c r="E13" s="34" t="s">
        <v>186</v>
      </c>
      <c r="F13" s="34" t="s">
        <v>187</v>
      </c>
      <c r="G13" s="34" t="s">
        <v>169</v>
      </c>
      <c r="H13" s="34" t="s">
        <v>35</v>
      </c>
      <c r="I13" s="34" t="s">
        <v>130</v>
      </c>
      <c r="J13" s="34" t="s">
        <v>162</v>
      </c>
      <c r="K13" s="34" t="s">
        <v>38</v>
      </c>
      <c r="L13" s="34" t="s">
        <v>132</v>
      </c>
      <c r="M13" s="34" t="s">
        <v>133</v>
      </c>
      <c r="N13" s="34" t="s">
        <v>134</v>
      </c>
      <c r="O13" s="34" t="s">
        <v>188</v>
      </c>
    </row>
    <row r="14" customFormat="false" ht="35.05" hidden="false" customHeight="false" outlineLevel="0" collapsed="false">
      <c r="A14" s="33" t="s">
        <v>64</v>
      </c>
      <c r="B14" s="34" t="s">
        <v>10</v>
      </c>
      <c r="C14" s="34" t="s">
        <v>65</v>
      </c>
      <c r="D14" s="34" t="s">
        <v>53</v>
      </c>
      <c r="E14" s="34" t="s">
        <v>189</v>
      </c>
      <c r="F14" s="34" t="s">
        <v>190</v>
      </c>
      <c r="G14" s="34" t="s">
        <v>191</v>
      </c>
      <c r="H14" s="34" t="s">
        <v>44</v>
      </c>
      <c r="I14" s="34" t="s">
        <v>170</v>
      </c>
      <c r="J14" s="34" t="s">
        <v>192</v>
      </c>
      <c r="K14" s="34" t="s">
        <v>66</v>
      </c>
      <c r="L14" s="34" t="s">
        <v>193</v>
      </c>
      <c r="M14" s="34" t="s">
        <v>194</v>
      </c>
      <c r="N14" s="34" t="s">
        <v>134</v>
      </c>
      <c r="O14" s="34" t="s">
        <v>195</v>
      </c>
    </row>
    <row r="15" customFormat="false" ht="23.85" hidden="false" customHeight="false" outlineLevel="0" collapsed="false">
      <c r="A15" s="33" t="s">
        <v>67</v>
      </c>
      <c r="B15" s="34" t="s">
        <v>10</v>
      </c>
      <c r="C15" s="34" t="s">
        <v>68</v>
      </c>
      <c r="D15" s="34" t="s">
        <v>31</v>
      </c>
      <c r="E15" s="34" t="s">
        <v>196</v>
      </c>
      <c r="F15" s="34" t="s">
        <v>197</v>
      </c>
      <c r="G15" s="34" t="s">
        <v>198</v>
      </c>
      <c r="H15" s="34" t="s">
        <v>35</v>
      </c>
      <c r="I15" s="34" t="s">
        <v>130</v>
      </c>
      <c r="J15" s="34" t="s">
        <v>162</v>
      </c>
      <c r="K15" s="34" t="s">
        <v>69</v>
      </c>
      <c r="L15" s="34" t="s">
        <v>199</v>
      </c>
      <c r="M15" s="34" t="s">
        <v>133</v>
      </c>
      <c r="N15" s="34" t="s">
        <v>165</v>
      </c>
      <c r="O15" s="34" t="s">
        <v>200</v>
      </c>
    </row>
    <row r="16" customFormat="false" ht="46.25" hidden="false" customHeight="false" outlineLevel="0" collapsed="false">
      <c r="A16" s="33" t="s">
        <v>70</v>
      </c>
      <c r="B16" s="34" t="s">
        <v>10</v>
      </c>
      <c r="C16" s="34" t="s">
        <v>71</v>
      </c>
      <c r="D16" s="34" t="s">
        <v>53</v>
      </c>
      <c r="E16" s="34" t="s">
        <v>201</v>
      </c>
      <c r="F16" s="34" t="s">
        <v>202</v>
      </c>
      <c r="G16" s="34" t="s">
        <v>203</v>
      </c>
      <c r="H16" s="34" t="s">
        <v>44</v>
      </c>
      <c r="I16" s="34" t="s">
        <v>170</v>
      </c>
      <c r="J16" s="34" t="s">
        <v>204</v>
      </c>
      <c r="K16" s="34" t="s">
        <v>38</v>
      </c>
      <c r="L16" s="34" t="s">
        <v>163</v>
      </c>
      <c r="M16" s="34" t="s">
        <v>205</v>
      </c>
      <c r="N16" s="34" t="s">
        <v>165</v>
      </c>
      <c r="O16" s="34" t="s">
        <v>206</v>
      </c>
    </row>
    <row r="17" customFormat="false" ht="35.05" hidden="false" customHeight="false" outlineLevel="0" collapsed="false">
      <c r="A17" s="33" t="s">
        <v>72</v>
      </c>
      <c r="B17" s="34" t="s">
        <v>11</v>
      </c>
      <c r="C17" s="34" t="s">
        <v>73</v>
      </c>
      <c r="D17" s="34" t="s">
        <v>31</v>
      </c>
      <c r="E17" s="34" t="s">
        <v>207</v>
      </c>
      <c r="F17" s="34" t="s">
        <v>208</v>
      </c>
      <c r="G17" s="34" t="s">
        <v>209</v>
      </c>
      <c r="H17" s="34" t="s">
        <v>35</v>
      </c>
      <c r="I17" s="34" t="s">
        <v>151</v>
      </c>
      <c r="J17" s="34" t="s">
        <v>210</v>
      </c>
      <c r="K17" s="34" t="s">
        <v>34</v>
      </c>
      <c r="L17" s="34" t="s">
        <v>211</v>
      </c>
      <c r="M17" s="34" t="s">
        <v>212</v>
      </c>
      <c r="N17" s="34" t="s">
        <v>165</v>
      </c>
      <c r="O17" s="34" t="s">
        <v>213</v>
      </c>
    </row>
    <row r="18" customFormat="false" ht="35.05" hidden="false" customHeight="false" outlineLevel="0" collapsed="false">
      <c r="A18" s="33" t="s">
        <v>74</v>
      </c>
      <c r="B18" s="34" t="s">
        <v>11</v>
      </c>
      <c r="C18" s="34" t="s">
        <v>75</v>
      </c>
      <c r="D18" s="34" t="s">
        <v>31</v>
      </c>
      <c r="E18" s="34" t="s">
        <v>214</v>
      </c>
      <c r="F18" s="34" t="s">
        <v>215</v>
      </c>
      <c r="G18" s="34" t="s">
        <v>216</v>
      </c>
      <c r="H18" s="34" t="s">
        <v>44</v>
      </c>
      <c r="I18" s="34" t="s">
        <v>144</v>
      </c>
      <c r="J18" s="34" t="s">
        <v>210</v>
      </c>
      <c r="K18" s="34" t="s">
        <v>34</v>
      </c>
      <c r="L18" s="34" t="s">
        <v>211</v>
      </c>
      <c r="M18" s="34" t="s">
        <v>217</v>
      </c>
      <c r="N18" s="34" t="s">
        <v>134</v>
      </c>
      <c r="O18" s="34" t="s">
        <v>218</v>
      </c>
    </row>
    <row r="19" customFormat="false" ht="35.05" hidden="false" customHeight="false" outlineLevel="0" collapsed="false">
      <c r="A19" s="33" t="s">
        <v>76</v>
      </c>
      <c r="B19" s="34" t="s">
        <v>11</v>
      </c>
      <c r="C19" s="34" t="s">
        <v>77</v>
      </c>
      <c r="D19" s="34" t="s">
        <v>31</v>
      </c>
      <c r="E19" s="34" t="s">
        <v>219</v>
      </c>
      <c r="F19" s="34" t="s">
        <v>220</v>
      </c>
      <c r="G19" s="34" t="s">
        <v>221</v>
      </c>
      <c r="H19" s="34" t="s">
        <v>44</v>
      </c>
      <c r="I19" s="34" t="s">
        <v>222</v>
      </c>
      <c r="J19" s="34" t="s">
        <v>156</v>
      </c>
      <c r="K19" s="34" t="s">
        <v>47</v>
      </c>
      <c r="L19" s="34" t="s">
        <v>157</v>
      </c>
      <c r="M19" s="34" t="s">
        <v>223</v>
      </c>
      <c r="N19" s="34" t="s">
        <v>165</v>
      </c>
      <c r="O19" s="34" t="s">
        <v>224</v>
      </c>
    </row>
    <row r="20" customFormat="false" ht="46.25" hidden="false" customHeight="false" outlineLevel="0" collapsed="false">
      <c r="A20" s="33" t="s">
        <v>78</v>
      </c>
      <c r="B20" s="34" t="s">
        <v>11</v>
      </c>
      <c r="C20" s="34" t="s">
        <v>79</v>
      </c>
      <c r="D20" s="34" t="s">
        <v>31</v>
      </c>
      <c r="E20" s="34" t="s">
        <v>225</v>
      </c>
      <c r="F20" s="34" t="s">
        <v>226</v>
      </c>
      <c r="G20" s="34" t="s">
        <v>227</v>
      </c>
      <c r="H20" s="34" t="s">
        <v>35</v>
      </c>
      <c r="I20" s="34" t="s">
        <v>130</v>
      </c>
      <c r="J20" s="34" t="s">
        <v>131</v>
      </c>
      <c r="K20" s="34" t="s">
        <v>38</v>
      </c>
      <c r="L20" s="34" t="s">
        <v>211</v>
      </c>
      <c r="M20" s="34" t="s">
        <v>228</v>
      </c>
      <c r="N20" s="34" t="s">
        <v>165</v>
      </c>
      <c r="O20" s="34" t="s">
        <v>229</v>
      </c>
    </row>
    <row r="21" customFormat="false" ht="35.05" hidden="false" customHeight="false" outlineLevel="0" collapsed="false">
      <c r="A21" s="33" t="s">
        <v>80</v>
      </c>
      <c r="B21" s="34" t="s">
        <v>11</v>
      </c>
      <c r="C21" s="34" t="s">
        <v>81</v>
      </c>
      <c r="D21" s="34" t="s">
        <v>31</v>
      </c>
      <c r="E21" s="34" t="s">
        <v>230</v>
      </c>
      <c r="F21" s="34" t="s">
        <v>231</v>
      </c>
      <c r="G21" s="34" t="s">
        <v>232</v>
      </c>
      <c r="H21" s="34" t="s">
        <v>35</v>
      </c>
      <c r="I21" s="34" t="s">
        <v>130</v>
      </c>
      <c r="J21" s="34" t="s">
        <v>156</v>
      </c>
      <c r="K21" s="34" t="s">
        <v>38</v>
      </c>
      <c r="L21" s="34" t="s">
        <v>211</v>
      </c>
      <c r="M21" s="34" t="s">
        <v>233</v>
      </c>
      <c r="N21" s="34" t="s">
        <v>165</v>
      </c>
      <c r="O21" s="34" t="s">
        <v>234</v>
      </c>
    </row>
    <row r="22" customFormat="false" ht="23.85" hidden="false" customHeight="false" outlineLevel="0" collapsed="false">
      <c r="A22" s="33" t="s">
        <v>82</v>
      </c>
      <c r="B22" s="34" t="s">
        <v>11</v>
      </c>
      <c r="C22" s="34" t="s">
        <v>83</v>
      </c>
      <c r="D22" s="34" t="s">
        <v>31</v>
      </c>
      <c r="E22" s="34" t="s">
        <v>235</v>
      </c>
      <c r="F22" s="34" t="s">
        <v>236</v>
      </c>
      <c r="G22" s="34" t="s">
        <v>237</v>
      </c>
      <c r="H22" s="34" t="s">
        <v>35</v>
      </c>
      <c r="I22" s="34" t="s">
        <v>130</v>
      </c>
      <c r="J22" s="34" t="s">
        <v>162</v>
      </c>
      <c r="K22" s="34" t="s">
        <v>34</v>
      </c>
      <c r="L22" s="34" t="s">
        <v>211</v>
      </c>
      <c r="M22" s="34" t="s">
        <v>133</v>
      </c>
      <c r="N22" s="34" t="s">
        <v>134</v>
      </c>
      <c r="O22" s="34" t="s">
        <v>238</v>
      </c>
    </row>
    <row r="23" customFormat="false" ht="23.85" hidden="false" customHeight="false" outlineLevel="0" collapsed="false">
      <c r="A23" s="33" t="s">
        <v>84</v>
      </c>
      <c r="B23" s="34" t="s">
        <v>12</v>
      </c>
      <c r="C23" s="34" t="s">
        <v>85</v>
      </c>
      <c r="D23" s="34" t="s">
        <v>31</v>
      </c>
      <c r="E23" s="34" t="s">
        <v>239</v>
      </c>
      <c r="F23" s="34" t="s">
        <v>240</v>
      </c>
      <c r="G23" s="34" t="s">
        <v>241</v>
      </c>
      <c r="H23" s="34" t="s">
        <v>44</v>
      </c>
      <c r="I23" s="34" t="s">
        <v>242</v>
      </c>
      <c r="J23" s="34" t="s">
        <v>243</v>
      </c>
      <c r="K23" s="34" t="s">
        <v>66</v>
      </c>
      <c r="L23" s="34" t="s">
        <v>183</v>
      </c>
      <c r="M23" s="34" t="s">
        <v>244</v>
      </c>
      <c r="N23" s="34" t="s">
        <v>165</v>
      </c>
      <c r="O23" s="34" t="s">
        <v>245</v>
      </c>
    </row>
    <row r="24" customFormat="false" ht="23.85" hidden="false" customHeight="false" outlineLevel="0" collapsed="false">
      <c r="A24" s="33" t="s">
        <v>86</v>
      </c>
      <c r="B24" s="34" t="s">
        <v>12</v>
      </c>
      <c r="C24" s="34" t="s">
        <v>87</v>
      </c>
      <c r="D24" s="34" t="s">
        <v>31</v>
      </c>
      <c r="E24" s="34" t="s">
        <v>246</v>
      </c>
      <c r="F24" s="34" t="s">
        <v>247</v>
      </c>
      <c r="G24" s="34" t="s">
        <v>248</v>
      </c>
      <c r="H24" s="34" t="s">
        <v>44</v>
      </c>
      <c r="I24" s="34" t="s">
        <v>130</v>
      </c>
      <c r="J24" s="34" t="s">
        <v>249</v>
      </c>
      <c r="K24" s="34" t="s">
        <v>38</v>
      </c>
      <c r="L24" s="34" t="s">
        <v>193</v>
      </c>
      <c r="M24" s="34" t="s">
        <v>250</v>
      </c>
      <c r="N24" s="34" t="s">
        <v>165</v>
      </c>
      <c r="O24" s="34" t="s">
        <v>251</v>
      </c>
    </row>
    <row r="25" customFormat="false" ht="23.85" hidden="false" customHeight="false" outlineLevel="0" collapsed="false">
      <c r="A25" s="33" t="s">
        <v>88</v>
      </c>
      <c r="B25" s="34" t="s">
        <v>12</v>
      </c>
      <c r="C25" s="34" t="s">
        <v>89</v>
      </c>
      <c r="D25" s="34" t="s">
        <v>31</v>
      </c>
      <c r="E25" s="34" t="s">
        <v>252</v>
      </c>
      <c r="F25" s="34" t="s">
        <v>253</v>
      </c>
      <c r="G25" s="34" t="s">
        <v>254</v>
      </c>
      <c r="H25" s="34" t="s">
        <v>44</v>
      </c>
      <c r="I25" s="34" t="s">
        <v>130</v>
      </c>
      <c r="J25" s="34" t="s">
        <v>162</v>
      </c>
      <c r="K25" s="34" t="s">
        <v>90</v>
      </c>
      <c r="L25" s="34" t="s">
        <v>255</v>
      </c>
      <c r="M25" s="34" t="s">
        <v>256</v>
      </c>
      <c r="N25" s="34" t="s">
        <v>165</v>
      </c>
      <c r="O25" s="34" t="s">
        <v>257</v>
      </c>
    </row>
    <row r="26" customFormat="false" ht="23.85" hidden="false" customHeight="false" outlineLevel="0" collapsed="false">
      <c r="A26" s="33" t="s">
        <v>91</v>
      </c>
      <c r="B26" s="34" t="s">
        <v>12</v>
      </c>
      <c r="C26" s="34" t="s">
        <v>92</v>
      </c>
      <c r="D26" s="34" t="s">
        <v>31</v>
      </c>
      <c r="E26" s="34" t="s">
        <v>258</v>
      </c>
      <c r="F26" s="34" t="s">
        <v>259</v>
      </c>
      <c r="G26" s="34" t="s">
        <v>260</v>
      </c>
      <c r="H26" s="34" t="s">
        <v>44</v>
      </c>
      <c r="I26" s="34" t="s">
        <v>261</v>
      </c>
      <c r="J26" s="34" t="s">
        <v>262</v>
      </c>
      <c r="K26" s="34" t="s">
        <v>90</v>
      </c>
      <c r="L26" s="34" t="s">
        <v>255</v>
      </c>
      <c r="M26" s="34" t="s">
        <v>263</v>
      </c>
      <c r="N26" s="34" t="s">
        <v>165</v>
      </c>
      <c r="O26" s="34" t="s">
        <v>264</v>
      </c>
    </row>
    <row r="27" customFormat="false" ht="35.05" hidden="false" customHeight="false" outlineLevel="0" collapsed="false">
      <c r="A27" s="33" t="s">
        <v>94</v>
      </c>
      <c r="B27" s="34" t="s">
        <v>12</v>
      </c>
      <c r="C27" s="34" t="s">
        <v>95</v>
      </c>
      <c r="D27" s="34" t="s">
        <v>53</v>
      </c>
      <c r="E27" s="34" t="s">
        <v>265</v>
      </c>
      <c r="F27" s="34" t="s">
        <v>266</v>
      </c>
      <c r="G27" s="34" t="s">
        <v>267</v>
      </c>
      <c r="H27" s="34" t="s">
        <v>44</v>
      </c>
      <c r="I27" s="34" t="s">
        <v>170</v>
      </c>
      <c r="J27" s="34" t="s">
        <v>171</v>
      </c>
      <c r="K27" s="34" t="s">
        <v>96</v>
      </c>
      <c r="L27" s="34" t="s">
        <v>193</v>
      </c>
      <c r="M27" s="34" t="s">
        <v>268</v>
      </c>
      <c r="N27" s="34" t="s">
        <v>134</v>
      </c>
      <c r="O27" s="34" t="s">
        <v>269</v>
      </c>
    </row>
    <row r="28" customFormat="false" ht="23.85" hidden="false" customHeight="false" outlineLevel="0" collapsed="false">
      <c r="A28" s="33" t="s">
        <v>97</v>
      </c>
      <c r="B28" s="34" t="s">
        <v>12</v>
      </c>
      <c r="C28" s="34" t="s">
        <v>98</v>
      </c>
      <c r="D28" s="34" t="s">
        <v>31</v>
      </c>
      <c r="E28" s="34" t="s">
        <v>270</v>
      </c>
      <c r="F28" s="34" t="s">
        <v>271</v>
      </c>
      <c r="G28" s="34" t="s">
        <v>272</v>
      </c>
      <c r="H28" s="34" t="s">
        <v>35</v>
      </c>
      <c r="I28" s="34" t="s">
        <v>130</v>
      </c>
      <c r="J28" s="34" t="s">
        <v>162</v>
      </c>
      <c r="K28" s="34" t="s">
        <v>38</v>
      </c>
      <c r="L28" s="34" t="s">
        <v>193</v>
      </c>
      <c r="M28" s="34" t="s">
        <v>133</v>
      </c>
      <c r="N28" s="34" t="s">
        <v>134</v>
      </c>
      <c r="O28" s="34" t="s">
        <v>273</v>
      </c>
    </row>
    <row r="29" customFormat="false" ht="23.85" hidden="false" customHeight="false" outlineLevel="0" collapsed="false">
      <c r="A29" s="33" t="s">
        <v>99</v>
      </c>
      <c r="B29" s="34" t="s">
        <v>12</v>
      </c>
      <c r="C29" s="34" t="s">
        <v>100</v>
      </c>
      <c r="D29" s="34" t="s">
        <v>31</v>
      </c>
      <c r="E29" s="34" t="s">
        <v>274</v>
      </c>
      <c r="F29" s="34" t="s">
        <v>275</v>
      </c>
      <c r="G29" s="34" t="s">
        <v>276</v>
      </c>
      <c r="H29" s="34" t="s">
        <v>44</v>
      </c>
      <c r="I29" s="34" t="s">
        <v>277</v>
      </c>
      <c r="J29" s="34" t="s">
        <v>278</v>
      </c>
      <c r="K29" s="34" t="s">
        <v>66</v>
      </c>
      <c r="L29" s="34" t="s">
        <v>279</v>
      </c>
      <c r="M29" s="34" t="s">
        <v>280</v>
      </c>
      <c r="N29" s="34" t="s">
        <v>165</v>
      </c>
      <c r="O29" s="34"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6"/>
    <col collapsed="false" customWidth="true" hidden="false" outlineLevel="0" max="6" min="3" style="0" width="17"/>
  </cols>
  <sheetData>
    <row r="1" customFormat="false" ht="17.35" hidden="false" customHeight="false" outlineLevel="0" collapsed="false">
      <c r="A1" s="24" t="s">
        <v>282</v>
      </c>
    </row>
    <row r="2" customFormat="false" ht="15" hidden="false" customHeight="false" outlineLevel="0" collapsed="false">
      <c r="A2" s="2" t="s">
        <v>283</v>
      </c>
    </row>
    <row r="4" customFormat="false" ht="15" hidden="false" customHeight="false" outlineLevel="0" collapsed="false">
      <c r="A4" s="14" t="s">
        <v>14</v>
      </c>
      <c r="B4" s="14" t="s">
        <v>15</v>
      </c>
      <c r="C4" s="14" t="s">
        <v>284</v>
      </c>
      <c r="D4" s="14" t="s">
        <v>285</v>
      </c>
      <c r="E4" s="14" t="s">
        <v>286</v>
      </c>
      <c r="F4" s="14" t="s">
        <v>287</v>
      </c>
    </row>
    <row r="5" customFormat="false" ht="15" hidden="false" customHeight="false" outlineLevel="0" collapsed="false">
      <c r="A5" s="9" t="s">
        <v>29</v>
      </c>
      <c r="B5" s="26" t="s">
        <v>30</v>
      </c>
      <c r="C5" s="35" t="n">
        <f aca="false">IF('Data Entry'!C5="","n/a",'Data Entry'!C5)</f>
        <v>0</v>
      </c>
      <c r="D5" s="27" t="n">
        <v>0.8</v>
      </c>
      <c r="E5" s="27" t="n">
        <v>0.95</v>
      </c>
      <c r="F5" s="27" t="n">
        <v>1</v>
      </c>
    </row>
    <row r="6" customFormat="false" ht="15" hidden="false" customHeight="false" outlineLevel="0" collapsed="false">
      <c r="A6" s="9" t="s">
        <v>36</v>
      </c>
      <c r="B6" s="26" t="s">
        <v>37</v>
      </c>
      <c r="C6" s="35" t="n">
        <f aca="false">IF('Data Entry'!C6="","n/a",'Data Entry'!C6)</f>
        <v>0</v>
      </c>
      <c r="D6" s="27" t="n">
        <v>0.5</v>
      </c>
      <c r="E6" s="27" t="n">
        <v>0.75</v>
      </c>
      <c r="F6" s="27" t="n">
        <v>1</v>
      </c>
    </row>
    <row r="7" customFormat="false" ht="15" hidden="false" customHeight="false" outlineLevel="0" collapsed="false">
      <c r="A7" s="9" t="s">
        <v>39</v>
      </c>
      <c r="B7" s="26" t="s">
        <v>40</v>
      </c>
      <c r="C7" s="35" t="str">
        <f aca="false">IF('Data Entry'!C7="","n/a",'Data Entry'!C7)</f>
        <v>n/a</v>
      </c>
      <c r="D7" s="27" t="n">
        <v>0.85</v>
      </c>
      <c r="E7" s="27" t="n">
        <v>0.88</v>
      </c>
      <c r="F7" s="27" t="n">
        <v>0.9</v>
      </c>
    </row>
    <row r="8" customFormat="false" ht="15" hidden="false" customHeight="false" outlineLevel="0" collapsed="false">
      <c r="A8" s="9" t="s">
        <v>42</v>
      </c>
      <c r="B8" s="26" t="s">
        <v>43</v>
      </c>
      <c r="C8" s="35" t="n">
        <f aca="false">IF('Data Entry'!C8="","n/a",'Data Entry'!C8)</f>
        <v>1</v>
      </c>
      <c r="D8" s="27" t="n">
        <v>0.95</v>
      </c>
      <c r="E8" s="27" t="n">
        <v>0.95</v>
      </c>
      <c r="F8" s="27" t="n">
        <v>0.95</v>
      </c>
    </row>
    <row r="9" customFormat="false" ht="15" hidden="false" customHeight="false" outlineLevel="0" collapsed="false">
      <c r="A9" s="9" t="s">
        <v>45</v>
      </c>
      <c r="B9" s="26" t="s">
        <v>46</v>
      </c>
      <c r="C9" s="35" t="n">
        <f aca="false">IF('Data Entry'!C9="","n/a",'Data Entry'!C9)</f>
        <v>0</v>
      </c>
      <c r="D9" s="27" t="n">
        <v>0.9</v>
      </c>
      <c r="E9" s="27" t="n">
        <v>0.98</v>
      </c>
      <c r="F9" s="27" t="n">
        <v>1</v>
      </c>
    </row>
    <row r="10" customFormat="false" ht="15" hidden="false" customHeight="false" outlineLevel="0" collapsed="false">
      <c r="A10" s="9" t="s">
        <v>48</v>
      </c>
      <c r="B10" s="26" t="s">
        <v>49</v>
      </c>
      <c r="C10" s="35" t="n">
        <f aca="false">IF('Data Entry'!C10="","n/a",'Data Entry'!C10)</f>
        <v>0.58</v>
      </c>
      <c r="D10" s="27" t="n">
        <v>0.75</v>
      </c>
      <c r="E10" s="27" t="n">
        <v>0.9</v>
      </c>
      <c r="F10" s="27" t="n">
        <v>0.95</v>
      </c>
    </row>
    <row r="11" customFormat="false" ht="15" hidden="false" customHeight="false" outlineLevel="0" collapsed="false">
      <c r="A11" s="9" t="s">
        <v>51</v>
      </c>
      <c r="B11" s="26" t="s">
        <v>52</v>
      </c>
      <c r="C11" s="36" t="n">
        <f aca="false">IF('Data Entry'!C11="","n/a",'Data Entry'!C11)</f>
        <v>3</v>
      </c>
      <c r="D11" s="29" t="n">
        <v>1</v>
      </c>
      <c r="E11" s="29" t="n">
        <v>0</v>
      </c>
      <c r="F11" s="29" t="n">
        <v>0</v>
      </c>
    </row>
    <row r="12" customFormat="false" ht="15" hidden="false" customHeight="false" outlineLevel="0" collapsed="false">
      <c r="A12" s="9" t="s">
        <v>57</v>
      </c>
      <c r="B12" s="26" t="s">
        <v>58</v>
      </c>
      <c r="C12" s="35" t="n">
        <f aca="false">IF('Data Entry'!C12="","n/a",'Data Entry'!C12)</f>
        <v>0</v>
      </c>
      <c r="D12" s="27" t="n">
        <v>0.8</v>
      </c>
      <c r="E12" s="27" t="n">
        <v>1</v>
      </c>
      <c r="F12" s="27" t="n">
        <v>1</v>
      </c>
    </row>
    <row r="13" customFormat="false" ht="15" hidden="false" customHeight="false" outlineLevel="0" collapsed="false">
      <c r="A13" s="9" t="s">
        <v>59</v>
      </c>
      <c r="B13" s="26" t="s">
        <v>60</v>
      </c>
      <c r="C13" s="36" t="n">
        <f aca="false">IF('Data Entry'!C13="","n/a",'Data Entry'!C13)</f>
        <v>90</v>
      </c>
      <c r="D13" s="29" t="n">
        <v>75</v>
      </c>
      <c r="E13" s="29" t="n">
        <v>60</v>
      </c>
      <c r="F13" s="29" t="n">
        <v>30</v>
      </c>
    </row>
    <row r="14" customFormat="false" ht="15" hidden="false" customHeight="false" outlineLevel="0" collapsed="false">
      <c r="A14" s="9" t="s">
        <v>62</v>
      </c>
      <c r="B14" s="26" t="s">
        <v>63</v>
      </c>
      <c r="C14" s="35" t="n">
        <f aca="false">IF('Data Entry'!C14="","n/a",'Data Entry'!C14)</f>
        <v>0</v>
      </c>
      <c r="D14" s="27" t="n">
        <v>0.8</v>
      </c>
      <c r="E14" s="27" t="n">
        <v>0.95</v>
      </c>
      <c r="F14" s="27" t="n">
        <v>1</v>
      </c>
    </row>
    <row r="15" customFormat="false" ht="15" hidden="false" customHeight="false" outlineLevel="0" collapsed="false">
      <c r="A15" s="9" t="s">
        <v>64</v>
      </c>
      <c r="B15" s="26" t="s">
        <v>65</v>
      </c>
      <c r="C15" s="36" t="n">
        <f aca="false">IF('Data Entry'!C15="","n/a",'Data Entry'!C15)</f>
        <v>42</v>
      </c>
      <c r="D15" s="29" t="n">
        <v>5</v>
      </c>
      <c r="E15" s="29" t="n">
        <v>0</v>
      </c>
      <c r="F15" s="29" t="n">
        <v>0</v>
      </c>
    </row>
    <row r="16" customFormat="false" ht="15" hidden="false" customHeight="false" outlineLevel="0" collapsed="false">
      <c r="A16" s="9" t="s">
        <v>67</v>
      </c>
      <c r="B16" s="26" t="s">
        <v>68</v>
      </c>
      <c r="C16" s="35" t="n">
        <f aca="false">IF('Data Entry'!C16="","n/a",'Data Entry'!C16)</f>
        <v>0</v>
      </c>
      <c r="D16" s="27" t="n">
        <v>0.4</v>
      </c>
      <c r="E16" s="27" t="n">
        <v>0.75</v>
      </c>
      <c r="F16" s="27" t="n">
        <v>1</v>
      </c>
    </row>
    <row r="17" customFormat="false" ht="15" hidden="false" customHeight="false" outlineLevel="0" collapsed="false">
      <c r="A17" s="9" t="s">
        <v>70</v>
      </c>
      <c r="B17" s="26" t="s">
        <v>71</v>
      </c>
      <c r="C17" s="36" t="n">
        <f aca="false">IF('Data Entry'!C17="","n/a",'Data Entry'!C17)</f>
        <v>1</v>
      </c>
      <c r="D17" s="29" t="n">
        <v>0</v>
      </c>
      <c r="E17" s="29" t="n">
        <v>0</v>
      </c>
      <c r="F17" s="29" t="n">
        <v>0</v>
      </c>
    </row>
    <row r="18" customFormat="false" ht="15" hidden="false" customHeight="false" outlineLevel="0" collapsed="false">
      <c r="A18" s="9" t="s">
        <v>72</v>
      </c>
      <c r="B18" s="26" t="s">
        <v>73</v>
      </c>
      <c r="C18" s="35" t="n">
        <f aca="false">IF('Data Entry'!C18="","n/a",'Data Entry'!C18)</f>
        <v>0.78</v>
      </c>
      <c r="D18" s="27" t="n">
        <v>0.82</v>
      </c>
      <c r="E18" s="27" t="n">
        <v>0.88</v>
      </c>
      <c r="F18" s="27" t="n">
        <v>0.95</v>
      </c>
    </row>
    <row r="19" customFormat="false" ht="15" hidden="false" customHeight="false" outlineLevel="0" collapsed="false">
      <c r="A19" s="9" t="s">
        <v>74</v>
      </c>
      <c r="B19" s="26" t="s">
        <v>75</v>
      </c>
      <c r="C19" s="35" t="n">
        <f aca="false">IF('Data Entry'!C19="","n/a",'Data Entry'!C19)</f>
        <v>0.25</v>
      </c>
      <c r="D19" s="27" t="n">
        <v>0.6</v>
      </c>
      <c r="E19" s="27" t="n">
        <v>0.8</v>
      </c>
      <c r="F19" s="27" t="n">
        <v>0.9</v>
      </c>
    </row>
    <row r="20" customFormat="false" ht="15" hidden="false" customHeight="false" outlineLevel="0" collapsed="false">
      <c r="A20" s="9" t="s">
        <v>76</v>
      </c>
      <c r="B20" s="26" t="s">
        <v>77</v>
      </c>
      <c r="C20" s="35" t="n">
        <f aca="false">IF('Data Entry'!C20="","n/a",'Data Entry'!C20)</f>
        <v>0.92</v>
      </c>
      <c r="D20" s="27" t="n">
        <v>0.95</v>
      </c>
      <c r="E20" s="27" t="n">
        <v>0.97</v>
      </c>
      <c r="F20" s="27" t="n">
        <v>0.98</v>
      </c>
    </row>
    <row r="21" customFormat="false" ht="15" hidden="false" customHeight="false" outlineLevel="0" collapsed="false">
      <c r="A21" s="9" t="s">
        <v>78</v>
      </c>
      <c r="B21" s="26" t="s">
        <v>79</v>
      </c>
      <c r="C21" s="35" t="n">
        <f aca="false">IF('Data Entry'!C21="","n/a",'Data Entry'!C21)</f>
        <v>0.6</v>
      </c>
      <c r="D21" s="27" t="n">
        <v>0.9</v>
      </c>
      <c r="E21" s="27" t="n">
        <v>0.97</v>
      </c>
      <c r="F21" s="27" t="n">
        <v>1</v>
      </c>
    </row>
    <row r="22" customFormat="false" ht="15" hidden="false" customHeight="false" outlineLevel="0" collapsed="false">
      <c r="A22" s="9" t="s">
        <v>80</v>
      </c>
      <c r="B22" s="26" t="s">
        <v>81</v>
      </c>
      <c r="C22" s="35" t="n">
        <f aca="false">IF('Data Entry'!C22="","n/a",'Data Entry'!C22)</f>
        <v>0.65</v>
      </c>
      <c r="D22" s="27" t="n">
        <v>0.75</v>
      </c>
      <c r="E22" s="27" t="n">
        <v>0.9</v>
      </c>
      <c r="F22" s="27" t="n">
        <v>1</v>
      </c>
    </row>
    <row r="23" customFormat="false" ht="15" hidden="false" customHeight="false" outlineLevel="0" collapsed="false">
      <c r="A23" s="9" t="s">
        <v>82</v>
      </c>
      <c r="B23" s="26" t="s">
        <v>83</v>
      </c>
      <c r="C23" s="35" t="n">
        <f aca="false">IF('Data Entry'!C23="","n/a",'Data Entry'!C23)</f>
        <v>0</v>
      </c>
      <c r="D23" s="27" t="n">
        <v>0.7</v>
      </c>
      <c r="E23" s="27" t="n">
        <v>0.9</v>
      </c>
      <c r="F23" s="27" t="n">
        <v>1</v>
      </c>
    </row>
    <row r="24" customFormat="false" ht="15" hidden="false" customHeight="false" outlineLevel="0" collapsed="false">
      <c r="A24" s="9" t="s">
        <v>84</v>
      </c>
      <c r="B24" s="26" t="s">
        <v>85</v>
      </c>
      <c r="C24" s="36" t="n">
        <f aca="false">IF('Data Entry'!C24="","n/a",'Data Entry'!C24)</f>
        <v>12</v>
      </c>
      <c r="D24" s="29" t="n">
        <v>10</v>
      </c>
      <c r="E24" s="29" t="n">
        <v>8</v>
      </c>
      <c r="F24" s="29" t="n">
        <v>7</v>
      </c>
    </row>
    <row r="25" customFormat="false" ht="15" hidden="false" customHeight="false" outlineLevel="0" collapsed="false">
      <c r="A25" s="9" t="s">
        <v>86</v>
      </c>
      <c r="B25" s="26" t="s">
        <v>87</v>
      </c>
      <c r="C25" s="35" t="n">
        <f aca="false">IF('Data Entry'!C25="","n/a",'Data Entry'!C25)</f>
        <v>0.85</v>
      </c>
      <c r="D25" s="27" t="n">
        <v>0.95</v>
      </c>
      <c r="E25" s="27" t="n">
        <v>0.99</v>
      </c>
      <c r="F25" s="27" t="n">
        <v>1</v>
      </c>
    </row>
    <row r="26" customFormat="false" ht="15" hidden="false" customHeight="false" outlineLevel="0" collapsed="false">
      <c r="A26" s="9" t="s">
        <v>88</v>
      </c>
      <c r="B26" s="26" t="s">
        <v>89</v>
      </c>
      <c r="C26" s="35" t="n">
        <f aca="false">IF('Data Entry'!C26="","n/a",'Data Entry'!C26)</f>
        <v>0.5</v>
      </c>
      <c r="D26" s="27" t="n">
        <v>0.7</v>
      </c>
      <c r="E26" s="27" t="n">
        <v>0.85</v>
      </c>
      <c r="F26" s="27" t="n">
        <v>1</v>
      </c>
    </row>
    <row r="27" customFormat="false" ht="15" hidden="false" customHeight="false" outlineLevel="0" collapsed="false">
      <c r="A27" s="9" t="s">
        <v>91</v>
      </c>
      <c r="B27" s="26" t="s">
        <v>92</v>
      </c>
      <c r="C27" s="36" t="n">
        <f aca="false">IF('Data Entry'!C27="","n/a",'Data Entry'!C27)</f>
        <v>16</v>
      </c>
      <c r="D27" s="29" t="n">
        <v>12</v>
      </c>
      <c r="E27" s="29" t="n">
        <v>8</v>
      </c>
      <c r="F27" s="29" t="n">
        <v>4</v>
      </c>
    </row>
    <row r="28" customFormat="false" ht="15" hidden="false" customHeight="false" outlineLevel="0" collapsed="false">
      <c r="A28" s="9" t="s">
        <v>94</v>
      </c>
      <c r="B28" s="26" t="s">
        <v>95</v>
      </c>
      <c r="C28" s="36" t="n">
        <f aca="false">IF('Data Entry'!C28="","n/a",'Data Entry'!C28)</f>
        <v>8</v>
      </c>
      <c r="D28" s="29" t="n">
        <v>0</v>
      </c>
      <c r="E28" s="29" t="n">
        <v>0</v>
      </c>
      <c r="F28" s="29" t="n">
        <v>0</v>
      </c>
    </row>
    <row r="29" customFormat="false" ht="15" hidden="false" customHeight="false" outlineLevel="0" collapsed="false">
      <c r="A29" s="9" t="s">
        <v>97</v>
      </c>
      <c r="B29" s="26" t="s">
        <v>98</v>
      </c>
      <c r="C29" s="35" t="n">
        <f aca="false">IF('Data Entry'!C29="","n/a",'Data Entry'!C29)</f>
        <v>0</v>
      </c>
      <c r="D29" s="27" t="n">
        <v>0.8</v>
      </c>
      <c r="E29" s="27" t="n">
        <v>0.95</v>
      </c>
      <c r="F29" s="27" t="n">
        <v>1</v>
      </c>
    </row>
    <row r="30" customFormat="false" ht="15" hidden="false" customHeight="false" outlineLevel="0" collapsed="false">
      <c r="A30" s="9" t="s">
        <v>99</v>
      </c>
      <c r="B30" s="26" t="s">
        <v>100</v>
      </c>
      <c r="C30" s="37" t="n">
        <f aca="false">IF('Data Entry'!C30="","n/a",'Data Entry'!C30)</f>
        <v>0.996</v>
      </c>
      <c r="D30" s="31" t="n">
        <v>0.997</v>
      </c>
      <c r="E30" s="31" t="n">
        <v>0.998</v>
      </c>
      <c r="F30" s="31" t="n">
        <v>0.999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24" t="s">
        <v>288</v>
      </c>
    </row>
    <row r="3" customFormat="false" ht="42" hidden="false" customHeight="true" outlineLevel="0" collapsed="false">
      <c r="A3" s="38" t="s">
        <v>289</v>
      </c>
    </row>
    <row r="4" customFormat="false" ht="42" hidden="false" customHeight="true" outlineLevel="0" collapsed="false">
      <c r="A4" s="38" t="s">
        <v>290</v>
      </c>
    </row>
    <row r="5" customFormat="false" ht="42" hidden="false" customHeight="true" outlineLevel="0" collapsed="false">
      <c r="A5" s="38" t="s">
        <v>291</v>
      </c>
    </row>
    <row r="6" customFormat="false" ht="42" hidden="false" customHeight="true" outlineLevel="0" collapsed="false">
      <c r="A6" s="38" t="s">
        <v>292</v>
      </c>
    </row>
    <row r="7" customFormat="false" ht="42" hidden="false" customHeight="true" outlineLevel="0" collapsed="false">
      <c r="A7" s="38" t="s">
        <v>293</v>
      </c>
    </row>
    <row r="8" customFormat="false" ht="42" hidden="false" customHeight="true" outlineLevel="0" collapsed="false">
      <c r="A8" s="38" t="s">
        <v>294</v>
      </c>
    </row>
    <row r="9" customFormat="false" ht="42" hidden="false" customHeight="true" outlineLevel="0" collapsed="false">
      <c r="A9" s="38" t="s">
        <v>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2026-10-17T07:58:52Z</dcterms:created>
  <dc:creator>openpyxl</dc:creator>
  <dc:description/>
  <dc:language>en-US</dc:language>
  <cp:lastModifiedBy/>
  <dcterms:modified xsi:type="dcterms:W3CDTF">2026-10-17T07:58:52Z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