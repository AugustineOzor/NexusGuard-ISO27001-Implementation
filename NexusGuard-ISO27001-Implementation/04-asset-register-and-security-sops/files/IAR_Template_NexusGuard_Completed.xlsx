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tion Asset Register" sheetId="1" state="visible" r:id="rId3"/>
    <sheet name="Classification Guide" sheetId="2" state="visible" r:id="rId4"/>
    <sheet name="IAR Summary" sheetId="3" state="visible" r:id="rId5"/>
    <sheet name="Document Contro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<sst xmlns="http://schemas.openxmlformats.org/spreadsheetml/2006/main" count="712" uniqueCount="345">
  <si>
    <t xml:space="preserve">Asset ID</t>
  </si>
  <si>
    <t xml:space="preserve">Asset Name</t>
  </si>
  <si>
    <t xml:space="preserve">Description</t>
  </si>
  <si>
    <t xml:space="preserve">Category</t>
  </si>
  <si>
    <t xml:space="preserve">Owner</t>
  </si>
  <si>
    <t xml:space="preserve">Custodian</t>
  </si>
  <si>
    <t xml:space="preserve">Business Unit</t>
  </si>
  <si>
    <t xml:space="preserve">Data Classification</t>
  </si>
  <si>
    <t xml:space="preserve">Business Criticality</t>
  </si>
  <si>
    <t xml:space="preserve">Location</t>
  </si>
  <si>
    <t xml:space="preserve">Regulatory Relevance</t>
  </si>
  <si>
    <t xml:space="preserve">Dependencies</t>
  </si>
  <si>
    <t xml:space="preserve">Risk Level</t>
  </si>
  <si>
    <t xml:space="preserve">Review Date</t>
  </si>
  <si>
    <t xml:space="preserve">AST-001</t>
  </si>
  <si>
    <t xml:space="preserve">Microsoft Active Directory</t>
  </si>
  <si>
    <t xml:space="preserve">Centralized identity, authentication, group policy, and access-control service for corporate users and systems.</t>
  </si>
  <si>
    <t xml:space="preserve">Software</t>
  </si>
  <si>
    <t xml:space="preserve">IT Infrastructure Manager</t>
  </si>
  <si>
    <t xml:space="preserve">Systems Administration Team</t>
  </si>
  <si>
    <t xml:space="preserve">Information Technology</t>
  </si>
  <si>
    <t xml:space="preserve">Confidential</t>
  </si>
  <si>
    <t xml:space="preserve">Critical</t>
  </si>
  <si>
    <t xml:space="preserve">NexusGuard HQ Data Center</t>
  </si>
  <si>
    <t xml:space="preserve">ISO 27001; HIPAA</t>
  </si>
  <si>
    <t xml:space="preserve">VMware Cluster; DNS; Core Network</t>
  </si>
  <si>
    <t xml:space="preserve">High</t>
  </si>
  <si>
    <t xml:space="preserve">AST-002</t>
  </si>
  <si>
    <t xml:space="preserve">Microsoft 365 Tenant</t>
  </si>
  <si>
    <t xml:space="preserve">Corporate email, Microsoft Teams, SharePoint Online, OneDrive, and Office productivity services.</t>
  </si>
  <si>
    <t xml:space="preserve">IT Service</t>
  </si>
  <si>
    <t xml:space="preserve">Head of IT</t>
  </si>
  <si>
    <t xml:space="preserve">Cloud Operations Team</t>
  </si>
  <si>
    <t xml:space="preserve">Enterprise Services</t>
  </si>
  <si>
    <t xml:space="preserve">Microsoft Cloud</t>
  </si>
  <si>
    <t xml:space="preserve">ISO 27001; HIPAA; GDPR</t>
  </si>
  <si>
    <t xml:space="preserve">Microsoft Entra ID; Internet Connectivity</t>
  </si>
  <si>
    <t xml:space="preserve">AST-003</t>
  </si>
  <si>
    <t xml:space="preserve">HR Employee Database</t>
  </si>
  <si>
    <t xml:space="preserve">Database containing employee personal information, payroll records, contracts, performance data, and benefits information.</t>
  </si>
  <si>
    <t xml:space="preserve">Data Asset</t>
  </si>
  <si>
    <t xml:space="preserve">Human Resources Director</t>
  </si>
  <si>
    <t xml:space="preserve">Database Administration Team</t>
  </si>
  <si>
    <t xml:space="preserve">Human Resources</t>
  </si>
  <si>
    <t xml:space="preserve">Restricted</t>
  </si>
  <si>
    <t xml:space="preserve">GDPR; HIPAA; Employment Law</t>
  </si>
  <si>
    <t xml:space="preserve">Microsoft SQL Server; Active Directory</t>
  </si>
  <si>
    <t xml:space="preserve">AST-004</t>
  </si>
  <si>
    <t xml:space="preserve">Finance ERP System</t>
  </si>
  <si>
    <t xml:space="preserve">Enterprise financial management platform supporting general ledger, accounts payable, billing, budgeting, and financial reporting.</t>
  </si>
  <si>
    <t xml:space="preserve">Chief Financial Officer</t>
  </si>
  <si>
    <t xml:space="preserve">ERP Administration Team</t>
  </si>
  <si>
    <t xml:space="preserve">Finance</t>
  </si>
  <si>
    <t xml:space="preserve">SOX; PCI DSS; ISO 27001</t>
  </si>
  <si>
    <t xml:space="preserve">Finance Database; Active Directory; Backup Service</t>
  </si>
  <si>
    <t xml:space="preserve">AST-005</t>
  </si>
  <si>
    <t xml:space="preserve">Salesforce CRM</t>
  </si>
  <si>
    <t xml:space="preserve">Cloud-based customer relationship management platform containing customer contacts, sales opportunities, contracts, and support history.</t>
  </si>
  <si>
    <t xml:space="preserve">Sales Director</t>
  </si>
  <si>
    <t xml:space="preserve">CRM Administrator</t>
  </si>
  <si>
    <t xml:space="preserve">Sales and Marketing</t>
  </si>
  <si>
    <t xml:space="preserve">Salesforce Cloud</t>
  </si>
  <si>
    <t xml:space="preserve">GDPR; ISO 27001</t>
  </si>
  <si>
    <t xml:space="preserve">Microsoft 365; Internet Connectivity; SSO</t>
  </si>
  <si>
    <t xml:space="preserve">Medium</t>
  </si>
  <si>
    <t xml:space="preserve">AST-006</t>
  </si>
  <si>
    <t xml:space="preserve">Palo Alto Perimeter Firewall</t>
  </si>
  <si>
    <t xml:space="preserve">Next-generation firewall protecting the corporate network and controlling inbound, outbound, and inter-segment traffic.</t>
  </si>
  <si>
    <t xml:space="preserve">Hardware</t>
  </si>
  <si>
    <t xml:space="preserve">Network and Security Manager</t>
  </si>
  <si>
    <t xml:space="preserve">Network Operations Team</t>
  </si>
  <si>
    <t xml:space="preserve">Internal</t>
  </si>
  <si>
    <t xml:space="preserve">NexusGuard HQ Server Room</t>
  </si>
  <si>
    <t xml:space="preserve">PCI DSS; HIPAA; ISO 27001</t>
  </si>
  <si>
    <t xml:space="preserve">ISP Links; Core Switches; SIEM Platform</t>
  </si>
  <si>
    <t xml:space="preserve">AST-007</t>
  </si>
  <si>
    <t xml:space="preserve">Corporate VPN Gateway</t>
  </si>
  <si>
    <t xml:space="preserve">Secure remote-access service used by employees and approved third parties to connect to internal systems.</t>
  </si>
  <si>
    <t xml:space="preserve">Infrastructure</t>
  </si>
  <si>
    <t xml:space="preserve">HIPAA; PCI DSS; ISO 27001</t>
  </si>
  <si>
    <t xml:space="preserve">Perimeter Firewall; Active Directory; MFA Service</t>
  </si>
  <si>
    <t xml:space="preserve">AST-008</t>
  </si>
  <si>
    <t xml:space="preserve">VMware vSphere Cluster</t>
  </si>
  <si>
    <t xml:space="preserve">Virtualization platform hosting critical production, security, database, and business application servers.</t>
  </si>
  <si>
    <t xml:space="preserve">Virtualization Team</t>
  </si>
  <si>
    <t xml:space="preserve">ISO 27001; HIPAA; PCI DSS</t>
  </si>
  <si>
    <t xml:space="preserve">SAN Storage; Core Network; Backup Service</t>
  </si>
  <si>
    <t xml:space="preserve">AST-009</t>
  </si>
  <si>
    <t xml:space="preserve">Veeam Backup Repository</t>
  </si>
  <si>
    <t xml:space="preserve">Central repository storing encrypted backups of production servers, databases, file shares, and cloud workloads.</t>
  </si>
  <si>
    <t xml:space="preserve">IT Operations Manager</t>
  </si>
  <si>
    <t xml:space="preserve">Backup and Recovery Team</t>
  </si>
  <si>
    <t xml:space="preserve">NexusGuard Disaster Recovery Site</t>
  </si>
  <si>
    <t xml:space="preserve">Veeam Backup Server; Storage Array; WAN Link</t>
  </si>
  <si>
    <t xml:space="preserve">AST-010</t>
  </si>
  <si>
    <t xml:space="preserve">Microsoft Sentinel SIEM</t>
  </si>
  <si>
    <t xml:space="preserve">Cloud security information and event management platform used for centralized logging, threat detection, alerting, and incident investigation.</t>
  </si>
  <si>
    <t xml:space="preserve">Security Operations Center Manager</t>
  </si>
  <si>
    <t xml:space="preserve">SOC Analysts</t>
  </si>
  <si>
    <t xml:space="preserve">Cybersecurity</t>
  </si>
  <si>
    <t xml:space="preserve">Microsoft Azure Cloud</t>
  </si>
  <si>
    <t xml:space="preserve">Log Sources; Microsoft Entra ID; Internet Connectivity</t>
  </si>
  <si>
    <t xml:space="preserve">AST-011</t>
  </si>
  <si>
    <t xml:space="preserve">Microsoft Defender for Endpoint</t>
  </si>
  <si>
    <t xml:space="preserve">Endpoint detection and response platform protecting corporate laptops, workstations, and servers from malware and advanced threats.</t>
  </si>
  <si>
    <t xml:space="preserve">Endpoint Management Team</t>
  </si>
  <si>
    <t xml:space="preserve">Corporate Endpoints; Microsoft Entra ID; SIEM Platform</t>
  </si>
  <si>
    <t xml:space="preserve">AST-012</t>
  </si>
  <si>
    <t xml:space="preserve">Cisco Catalyst Core Switch Stack</t>
  </si>
  <si>
    <t xml:space="preserve">Core switching infrastructure connecting servers, network segments, wireless services, firewalls, and internet gateways.</t>
  </si>
  <si>
    <t xml:space="preserve">ISO 27001; PCI DSS</t>
  </si>
  <si>
    <t xml:space="preserve">Perimeter Firewall; Access Switches; UPS</t>
  </si>
  <si>
    <t xml:space="preserve">AST-013</t>
  </si>
  <si>
    <t xml:space="preserve">NexusGuard Primary Server Room</t>
  </si>
  <si>
    <t xml:space="preserve">Restricted facility housing production servers, storage, network equipment, backup systems, and supporting environmental controls.</t>
  </si>
  <si>
    <t xml:space="preserve">Facility</t>
  </si>
  <si>
    <t xml:space="preserve">Facilities Manager</t>
  </si>
  <si>
    <t xml:space="preserve">Facilities and Physical Security Team</t>
  </si>
  <si>
    <t xml:space="preserve">Facilities</t>
  </si>
  <si>
    <t xml:space="preserve">NexusGuard Headquarters</t>
  </si>
  <si>
    <t xml:space="preserve">UPS; Generator; HVAC; Physical Access Control</t>
  </si>
  <si>
    <t xml:space="preserve">AST-014</t>
  </si>
  <si>
    <t xml:space="preserve">AWS Production Account</t>
  </si>
  <si>
    <t xml:space="preserve">Primary AWS account hosting NexusGuard customer-facing applications, APIs, databases, storage, and cloud security services.</t>
  </si>
  <si>
    <t xml:space="preserve">Cloud Operations Manager</t>
  </si>
  <si>
    <t xml:space="preserve">Cloud Engineering Team</t>
  </si>
  <si>
    <t xml:space="preserve">AWS US East Region</t>
  </si>
  <si>
    <t xml:space="preserve">AWS IAM; VPC; CloudTrail; Production Applications</t>
  </si>
  <si>
    <t xml:space="preserve">AST-015</t>
  </si>
  <si>
    <t xml:space="preserve">Cloudflare DNS and DDoS Protection</t>
  </si>
  <si>
    <t xml:space="preserve">Authoritative DNS, web application firewall, content delivery, and distributed denial-of-service protection for public services.</t>
  </si>
  <si>
    <t xml:space="preserve">Cloudflare Global Network</t>
  </si>
  <si>
    <t xml:space="preserve">PCI DSS; ISO 27001</t>
  </si>
  <si>
    <t xml:space="preserve">Domain Registrar; Public Web Applications; Internet Connectivity</t>
  </si>
  <si>
    <t xml:space="preserve">AST-016</t>
  </si>
  <si>
    <t xml:space="preserve">NexusGuard Client Security Portal</t>
  </si>
  <si>
    <t xml:space="preserve">Customer-facing web application where healthcare and enterprise clients view security reports, alerts, and compliance evidence.</t>
  </si>
  <si>
    <t xml:space="preserve">Chief Technology Officer</t>
  </si>
  <si>
    <t xml:space="preserve">Application Engineering Team</t>
  </si>
  <si>
    <t xml:space="preserve">Product Engineering</t>
  </si>
  <si>
    <t xml:space="preserve">HIPAA; PCI DSS; GDPR; ISO 27001</t>
  </si>
  <si>
    <t xml:space="preserve">AWS Production Account; Cloudflare DNS and DDoS Protection; Client PHI Database; Microsoft Entra ID</t>
  </si>
  <si>
    <t xml:space="preserve">AST-017</t>
  </si>
  <si>
    <t xml:space="preserve">GitHub Enterprise Cloud</t>
  </si>
  <si>
    <t xml:space="preserve">Source code hosting, pull-request review, and CI/CD workflows for NexusGuard products and infrastructure-as-code.</t>
  </si>
  <si>
    <t xml:space="preserve">DevOps Team</t>
  </si>
  <si>
    <t xml:space="preserve">GitHub Cloud</t>
  </si>
  <si>
    <t xml:space="preserve">Microsoft Entra ID; HashiCorp Vault Secrets Manager; AWS Production Account</t>
  </si>
  <si>
    <t xml:space="preserve">AST-018</t>
  </si>
  <si>
    <t xml:space="preserve">HashiCorp Vault Secrets Manager</t>
  </si>
  <si>
    <t xml:space="preserve">Central secrets and encryption-key management for application credentials, API keys, and database passwords.</t>
  </si>
  <si>
    <t xml:space="preserve">Chief Information Security Officer</t>
  </si>
  <si>
    <t xml:space="preserve">Platform Security Team</t>
  </si>
  <si>
    <t xml:space="preserve">AWS Production Account; Microsoft Entra ID; Veeam Backup and Replication Service</t>
  </si>
  <si>
    <t xml:space="preserve">AST-019</t>
  </si>
  <si>
    <t xml:space="preserve">Microsoft Entra ID</t>
  </si>
  <si>
    <t xml:space="preserve">Cloud identity provider delivering single sign-on, conditional access, and multi-factor authentication for staff and cloud applications.</t>
  </si>
  <si>
    <t xml:space="preserve">Identity and Access Management Team</t>
  </si>
  <si>
    <t xml:space="preserve">Microsoft Active Directory; Internet Connectivity</t>
  </si>
  <si>
    <t xml:space="preserve">AST-020</t>
  </si>
  <si>
    <t xml:space="preserve">Employee Laptop Fleet</t>
  </si>
  <si>
    <t xml:space="preserve">Company-managed laptops used by staff in Dubai, London, and New York, with full-disk encryption and endpoint protection.</t>
  </si>
  <si>
    <t xml:space="preserve">End-User Computing Team</t>
  </si>
  <si>
    <t xml:space="preserve">Dubai, London, and New York Offices</t>
  </si>
  <si>
    <t xml:space="preserve">Microsoft Defender for Endpoint; Microsoft 365 Tenant; Corporate VPN Gateway</t>
  </si>
  <si>
    <t xml:space="preserve">AST-021</t>
  </si>
  <si>
    <t xml:space="preserve">Dell PowerEdge Server Hosts</t>
  </si>
  <si>
    <t xml:space="preserve">Physical servers running the VMware vSphere cluster for production, security, and business application workloads.</t>
  </si>
  <si>
    <t xml:space="preserve">VMware vSphere Cluster; NetApp SAN Storage Array; NexusGuard HQ Data Center</t>
  </si>
  <si>
    <t xml:space="preserve">AST-022</t>
  </si>
  <si>
    <t xml:space="preserve">NetApp SAN Storage Array</t>
  </si>
  <si>
    <t xml:space="preserve">Shared storage array holding virtual machine disks, databases, and file shares for the on-premises environment.</t>
  </si>
  <si>
    <t xml:space="preserve">Storage Team</t>
  </si>
  <si>
    <t xml:space="preserve">Dell PowerEdge Server Hosts; Cisco Catalyst Core Switch Stack; Veeam Backup Repository</t>
  </si>
  <si>
    <t xml:space="preserve">AST-023</t>
  </si>
  <si>
    <t xml:space="preserve">Healthcare IoMT Test Lab Devices</t>
  </si>
  <si>
    <t xml:space="preserve">Infusion pumps, patient monitors, and imaging gateways used in the security lab to test client medical-device defenses with synthetic data.</t>
  </si>
  <si>
    <t xml:space="preserve">Security Services Director</t>
  </si>
  <si>
    <t xml:space="preserve">Security Lab Team</t>
  </si>
  <si>
    <t xml:space="preserve">Security Services</t>
  </si>
  <si>
    <t xml:space="preserve">NexusGuard HQ Security Lab</t>
  </si>
  <si>
    <t xml:space="preserve">HIPAA; ISO 27001</t>
  </si>
  <si>
    <t xml:space="preserve">Isolated Lab Network Segment; Palo Alto Perimeter Firewall</t>
  </si>
  <si>
    <t xml:space="preserve">Low</t>
  </si>
  <si>
    <t xml:space="preserve">AST-024</t>
  </si>
  <si>
    <t xml:space="preserve">Client PHI Database</t>
  </si>
  <si>
    <t xml:space="preserve">Production database storing protected health information processed for healthcare clients' security monitoring and reporting.</t>
  </si>
  <si>
    <t xml:space="preserve">HIPAA; GDPR; ISO 27001</t>
  </si>
  <si>
    <t xml:space="preserve">AWS Production Account; HashiCorp Vault Secrets Manager; AWS Cross-Region Backup Vault</t>
  </si>
  <si>
    <t xml:space="preserve">AST-025</t>
  </si>
  <si>
    <t xml:space="preserve">Corporate File Shares</t>
  </si>
  <si>
    <t xml:space="preserve">Departmental network and SharePoint file shares holding internal documents, project files, and working papers.</t>
  </si>
  <si>
    <t xml:space="preserve">ISO 27001; GDPR</t>
  </si>
  <si>
    <t xml:space="preserve">Microsoft Active Directory; NetApp SAN Storage Array; Veeam Backup Repository</t>
  </si>
  <si>
    <t xml:space="preserve">AST-026</t>
  </si>
  <si>
    <t xml:space="preserve">Security Log Archive</t>
  </si>
  <si>
    <t xml:space="preserve">Long-term archive of firewall, authentication, application, and cloud audit logs retained for investigations and compliance.</t>
  </si>
  <si>
    <t xml:space="preserve">Microsoft Sentinel SIEM; AWS CloudTrail; AWS Production Account</t>
  </si>
  <si>
    <t xml:space="preserve">AST-027</t>
  </si>
  <si>
    <t xml:space="preserve">AWS Cross-Region Backup Vault</t>
  </si>
  <si>
    <t xml:space="preserve">Encrypted copies of production databases and storage snapshots replicated to a secondary region for disaster recovery.</t>
  </si>
  <si>
    <t xml:space="preserve">AWS US West Region</t>
  </si>
  <si>
    <t xml:space="preserve">AWS Production Account; Client PHI Database; HashiCorp Vault Secrets Manager</t>
  </si>
  <si>
    <t xml:space="preserve">AST-028</t>
  </si>
  <si>
    <t xml:space="preserve">AWS Staging Account</t>
  </si>
  <si>
    <t xml:space="preserve">Pre-production AWS account used to test releases and integrations using masked or synthetic data.</t>
  </si>
  <si>
    <t xml:space="preserve">ISO 27001</t>
  </si>
  <si>
    <t xml:space="preserve">AWS Production Account; GitHub Enterprise Cloud; Microsoft Entra ID</t>
  </si>
  <si>
    <t xml:space="preserve">AST-029</t>
  </si>
  <si>
    <t xml:space="preserve">Segmented Production and PHI Network</t>
  </si>
  <si>
    <t xml:space="preserve">VLAN and firewall-zone design isolating production servers, PHI systems, and payment-related systems from the corporate LAN.</t>
  </si>
  <si>
    <t xml:space="preserve">Palo Alto Perimeter Firewall; Cisco Catalyst Core Switch Stack; VMware vSphere Cluster</t>
  </si>
  <si>
    <t xml:space="preserve">AST-030</t>
  </si>
  <si>
    <t xml:space="preserve">Site-to-Site VPN Tunnels</t>
  </si>
  <si>
    <t xml:space="preserve">Encrypted tunnels linking the London and New York offices and cloud environments to the Dubai headquarters network.</t>
  </si>
  <si>
    <t xml:space="preserve">Palo Alto Perimeter Firewall; ISP Links; AWS Production Account</t>
  </si>
  <si>
    <t xml:space="preserve">AST-031</t>
  </si>
  <si>
    <t xml:space="preserve">On-premises data center at the Dubai headquarters housing core servers, storage, and network equipment with resilient power and cooling.</t>
  </si>
  <si>
    <t xml:space="preserve">NexusGuard Headquarters, Dubai</t>
  </si>
  <si>
    <t xml:space="preserve">HIPAA; PCI DSS; ISO 27001; UAE NESA</t>
  </si>
  <si>
    <t xml:space="preserve">AST-032</t>
  </si>
  <si>
    <t xml:space="preserve">Secondary site hosting backup repositories and standby recovery capacity for critical on-premises systems.</t>
  </si>
  <si>
    <t xml:space="preserve">UPS; WAN Link; Veeam Backup Repository; Physical Access Control</t>
  </si>
  <si>
    <t xml:space="preserve">AST-033</t>
  </si>
  <si>
    <t xml:space="preserve">NexusGuard London Office</t>
  </si>
  <si>
    <t xml:space="preserve">Regional office for sales, client support, and engineering staff serving UK and European clients.</t>
  </si>
  <si>
    <t xml:space="preserve">London, United Kingdom</t>
  </si>
  <si>
    <t xml:space="preserve">ISO 27001; UK GDPR</t>
  </si>
  <si>
    <t xml:space="preserve">Site-to-Site VPN Tunnels; Employee Laptop Fleet; Physical Access Control</t>
  </si>
  <si>
    <t xml:space="preserve">AST-034</t>
  </si>
  <si>
    <t xml:space="preserve">NexusGuard New York Office</t>
  </si>
  <si>
    <t xml:space="preserve">Regional office for sales, client support, and engineering staff serving North American clients.</t>
  </si>
  <si>
    <t xml:space="preserve">New York, United States</t>
  </si>
  <si>
    <t xml:space="preserve">AST-035</t>
  </si>
  <si>
    <t xml:space="preserve">Internal DNS and DHCP Services</t>
  </si>
  <si>
    <t xml:space="preserve">Internal name resolution and IP address assignment services supporting servers, endpoints, and Active Directory.</t>
  </si>
  <si>
    <t xml:space="preserve">Microsoft Active Directory; Cisco Catalyst Core Switch Stack; VMware vSphere Cluster</t>
  </si>
  <si>
    <t xml:space="preserve">AST-036</t>
  </si>
  <si>
    <t xml:space="preserve">Veeam Backup and Replication Service</t>
  </si>
  <si>
    <t xml:space="preserve">Backup orchestration service scheduling, monitoring, and restoring backups of servers, databases, and file shares.</t>
  </si>
  <si>
    <t xml:space="preserve">Veeam Backup Repository; VMware vSphere Cluster; NexusGuard Disaster Recovery Site</t>
  </si>
  <si>
    <t xml:space="preserve">AST-037</t>
  </si>
  <si>
    <t xml:space="preserve">Datadog Monitoring and Observability</t>
  </si>
  <si>
    <t xml:space="preserve">Infrastructure and application monitoring service providing performance metrics, uptime alerts, and dashboards for cloud workloads.</t>
  </si>
  <si>
    <t xml:space="preserve">Datadog Cloud</t>
  </si>
  <si>
    <t xml:space="preserve">AWS Production Account; NexusGuard Client Security Portal; Internet Connectivity</t>
  </si>
  <si>
    <t xml:space="preserve">AST-038</t>
  </si>
  <si>
    <t xml:space="preserve">PayStream Payment Analytics Platform</t>
  </si>
  <si>
    <t xml:space="preserve">Core PayStream application that analyzes merchant transaction data and delivers fraud and spend insights to clients.</t>
  </si>
  <si>
    <t xml:space="preserve">PayStream Head of Engineering</t>
  </si>
  <si>
    <t xml:space="preserve">PayStream Platform Team</t>
  </si>
  <si>
    <t xml:space="preserve">PayStream Analytics</t>
  </si>
  <si>
    <t xml:space="preserve">PayStream AWS Account</t>
  </si>
  <si>
    <t xml:space="preserve">PCI DSS; GDPR; ISO 27001</t>
  </si>
  <si>
    <t xml:space="preserve">PayStream Transaction Data Warehouse; PayStream Cardholder Data Environment; PayStream Customer API Gateway</t>
  </si>
  <si>
    <t xml:space="preserve">AST-039</t>
  </si>
  <si>
    <t xml:space="preserve">PayStream Cardholder Data Environment</t>
  </si>
  <si>
    <t xml:space="preserve">Segmented network and systems that store, process, or transmit payment card data within PayStream's PCI DSS scope.</t>
  </si>
  <si>
    <t xml:space="preserve">PayStream AWS Account; PayStream Payment HSM; PayStream Transaction Data Warehouse</t>
  </si>
  <si>
    <t xml:space="preserve">AST-040</t>
  </si>
  <si>
    <t xml:space="preserve">PayStream Transaction Data Warehouse</t>
  </si>
  <si>
    <t xml:space="preserve">Data warehouse of merchant and cardholder transaction records used for analytics, reporting, and model training.</t>
  </si>
  <si>
    <t xml:space="preserve">PayStream Data Engineering Team</t>
  </si>
  <si>
    <t xml:space="preserve">PayStream AWS Account; PayStream Cardholder Data Environment; PayStream Payment Analytics Platform</t>
  </si>
  <si>
    <t xml:space="preserve">AST-041</t>
  </si>
  <si>
    <t xml:space="preserve">PayStream Payment HSM</t>
  </si>
  <si>
    <t xml:space="preserve">Hardware security module protecting cryptographic keys used to encrypt and tokenize payment card data.</t>
  </si>
  <si>
    <t xml:space="preserve">PayStream Co-location Facility</t>
  </si>
  <si>
    <t xml:space="preserve">PayStream Cardholder Data Environment; Co-location Power and Cooling</t>
  </si>
  <si>
    <t xml:space="preserve">AST-042</t>
  </si>
  <si>
    <t xml:space="preserve">PayStream Customer API Gateway</t>
  </si>
  <si>
    <t xml:space="preserve">Public API gateway exposing PayStream analytics and reporting endpoints to merchant and enterprise clients.</t>
  </si>
  <si>
    <t xml:space="preserve">PayStream Payment Analytics Platform; PayStream AWS Account; Internet Connectivity</t>
  </si>
  <si>
    <t xml:space="preserve">AST-043</t>
  </si>
  <si>
    <t xml:space="preserve">Cloud account hosting PayStream applications, data warehouse, and API services, not yet aligned to NexusGuard cloud baselines.</t>
  </si>
  <si>
    <t xml:space="preserve">AWS Cloud (PayStream-managed)</t>
  </si>
  <si>
    <t xml:space="preserve">AWS IAM; CloudTrail; PayStream Cardholder Data Environment</t>
  </si>
  <si>
    <t xml:space="preserve">AST-044</t>
  </si>
  <si>
    <t xml:space="preserve">PayStream Legacy Active Directory</t>
  </si>
  <si>
    <t xml:space="preserve">Separate PayStream directory service authenticating PayStream staff, pending migration into NexusGuard identity services.</t>
  </si>
  <si>
    <t xml:space="preserve">PayStream IT Lead</t>
  </si>
  <si>
    <t xml:space="preserve">PayStream IT Team</t>
  </si>
  <si>
    <t xml:space="preserve">PayStream Office</t>
  </si>
  <si>
    <t xml:space="preserve">Microsoft Entra ID; PayStream Office Network</t>
  </si>
  <si>
    <t xml:space="preserve">AST-045</t>
  </si>
  <si>
    <t xml:space="preserve">PayStream Corporate Email Tenant</t>
  </si>
  <si>
    <t xml:space="preserve">Separate Microsoft 365 tenant used by PayStream staff for email and collaboration until tenant consolidation.</t>
  </si>
  <si>
    <t xml:space="preserve">Microsoft Entra ID; Internet Connectivity; Microsoft 365 Tenant</t>
  </si>
  <si>
    <t xml:space="preserve">Definition</t>
  </si>
  <si>
    <t xml:space="preserve">Public</t>
  </si>
  <si>
    <t xml:space="preserve">Approved for unrestricted public release.</t>
  </si>
  <si>
    <t xml:space="preserve">Loss or unavailability causes minimal operational impact.</t>
  </si>
  <si>
    <t xml:space="preserve">For NexusGuard personnel and authorized third parties; unauthorized disclosure causes limited harm.</t>
  </si>
  <si>
    <t xml:space="preserve">Disruption affects a business process but workarounds are available.</t>
  </si>
  <si>
    <t xml:space="preserve">Sensitive business, customer, security, or employee information requiring controlled access.</t>
  </si>
  <si>
    <t xml:space="preserve">Disruption causes major operational, financial, contractual, or reputational impact.</t>
  </si>
  <si>
    <t xml:space="preserve">Highly sensitive or regulated information requiring the strongest access and handling controls.</t>
  </si>
  <si>
    <t xml:space="preserve">Loss or unavailability stops essential operations or creates severe regulatory or safety impact.</t>
  </si>
  <si>
    <t xml:space="preserve">Guidance</t>
  </si>
  <si>
    <t xml:space="preserve">Adequate controls are in place and residual impact and likelihood are limited.</t>
  </si>
  <si>
    <t xml:space="preserve">Additional monitoring or planned treatment is required.</t>
  </si>
  <si>
    <t xml:space="preserve">Immediate management attention and formal risk treatment are required.</t>
  </si>
  <si>
    <t xml:space="preserve">NexusGuard Information Asset Register: Summary</t>
  </si>
  <si>
    <t xml:space="preserve">All counts are formulas over the Information Asset Register sheet (rows 2 to 46). Extend the ranges if assets are added below row 46.</t>
  </si>
  <si>
    <t xml:space="preserve">Key metric</t>
  </si>
  <si>
    <t xml:space="preserve">Value</t>
  </si>
  <si>
    <t xml:space="preserve">Total assets registered</t>
  </si>
  <si>
    <t xml:space="preserve">PayStream Analytics assets</t>
  </si>
  <si>
    <t xml:space="preserve">Assets rated High risk</t>
  </si>
  <si>
    <t xml:space="preserve">Restricted and Critical assets</t>
  </si>
  <si>
    <t xml:space="preserve">Critical assets rated High risk</t>
  </si>
  <si>
    <t xml:space="preserve">Assets</t>
  </si>
  <si>
    <t xml:space="preserve">% of register</t>
  </si>
  <si>
    <t xml:space="preserve">Total</t>
  </si>
  <si>
    <t xml:space="preserve">Classification vs Criticality (asset count)</t>
  </si>
  <si>
    <t xml:space="preserve">Document Control</t>
  </si>
  <si>
    <t xml:space="preserve">Item</t>
  </si>
  <si>
    <t xml:space="preserve">Document Title</t>
  </si>
  <si>
    <t xml:space="preserve">Information Asset Register (IAR)</t>
  </si>
  <si>
    <t xml:space="preserve">Doc Ref.</t>
  </si>
  <si>
    <t xml:space="preserve">IAR-001</t>
  </si>
  <si>
    <t xml:space="preserve">Classification</t>
  </si>
  <si>
    <t xml:space="preserve">Status</t>
  </si>
  <si>
    <t xml:space="preserve">Draft for ISSC review</t>
  </si>
  <si>
    <t xml:space="preserve">Release Date</t>
  </si>
  <si>
    <t xml:space="preserve">12/10/2026</t>
  </si>
  <si>
    <t xml:space="preserve">Chief Information Security Officer (CISO)</t>
  </si>
  <si>
    <t xml:space="preserve">Prepared by</t>
  </si>
  <si>
    <t xml:space="preserve">Augustine Ozor, GRC Analyst</t>
  </si>
  <si>
    <t xml:space="preserve">Requested by</t>
  </si>
  <si>
    <t xml:space="preserve">Michael Chen</t>
  </si>
  <si>
    <t xml:space="preserve">Next Review Date</t>
  </si>
  <si>
    <t xml:space="preserve">12 months from approval, or sooner on material change or acquisition</t>
  </si>
  <si>
    <t xml:space="preserve">Version History</t>
  </si>
  <si>
    <t xml:space="preserve">Version No.</t>
  </si>
  <si>
    <t xml:space="preserve">Date</t>
  </si>
  <si>
    <t xml:space="preserve">Author(s)</t>
  </si>
  <si>
    <t xml:space="preserve">Remarks</t>
  </si>
  <si>
    <t xml:space="preserve">1.0</t>
  </si>
  <si>
    <t xml:space="preserve">Augustine Ozor</t>
  </si>
  <si>
    <t xml:space="preserve">Register expanded from 15 to 45 assets, including 8 provisional PayStream Analytics assets.</t>
  </si>
  <si>
    <t xml:space="preserve">Notes</t>
  </si>
  <si>
    <t xml:space="preserve">PayStream entries (AST-038 to AST-045) are provisional: they were built from the acquisition documentation and must be validated against PayStream asset discovery before the next review.</t>
  </si>
  <si>
    <t xml:space="preserve">Review Date means the next scheduled review. PayStream assets are set earlier (15/12/2026) because integration is unfinished.</t>
  </si>
  <si>
    <t xml:space="preserve">Risk Level follows the Classification Guide. Ratings are initial judgments pending formal risk assessment.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</si>
</sst>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18"/>
    <col collapsed="false" customWidth="true" hidden="false" outlineLevel="0" max="5" min="5" style="0" width="25"/>
    <col collapsed="false" customWidth="true" hidden="false" outlineLevel="0" max="6" min="6" style="0" width="27"/>
    <col collapsed="false" customWidth="true" hidden="false" outlineLevel="0" max="7" min="7" style="0" width="23"/>
    <col collapsed="false" customWidth="true" hidden="false" outlineLevel="0" max="8" min="8" style="0" width="20"/>
    <col collapsed="false" customWidth="true" hidden="false" outlineLevel="0" max="9" min="9" style="0" width="19"/>
    <col collapsed="false" customWidth="true" hidden="false" outlineLevel="0" max="10" min="10" style="0" width="27"/>
    <col collapsed="false" customWidth="true" hidden="false" outlineLevel="0" max="11" min="11" style="0" width="25"/>
    <col collapsed="false" customWidth="true" hidden="false" outlineLevel="0" max="12" min="12" style="0" width="35"/>
    <col collapsed="false" customWidth="true" hidden="false" outlineLevel="0" max="13" min="13" style="0" width="13"/>
    <col collapsed="false" customWidth="true" hidden="false" outlineLevel="0" max="14" min="14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42" hidden="false" customHeight="true" outlineLevel="0" collapsed="false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4" t="n">
        <v>46402</v>
      </c>
    </row>
    <row r="3" customFormat="false" ht="42" hidden="false" customHeight="true" outlineLevel="0" collapsed="false">
      <c r="A3" s="2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21</v>
      </c>
      <c r="I3" s="3" t="s">
        <v>22</v>
      </c>
      <c r="J3" s="3" t="s">
        <v>34</v>
      </c>
      <c r="K3" s="3" t="s">
        <v>35</v>
      </c>
      <c r="L3" s="3" t="s">
        <v>36</v>
      </c>
      <c r="M3" s="3" t="s">
        <v>26</v>
      </c>
      <c r="N3" s="4" t="n">
        <v>46402</v>
      </c>
    </row>
    <row r="4" customFormat="false" ht="42" hidden="false" customHeight="true" outlineLevel="0" collapsed="false">
      <c r="A4" s="2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26</v>
      </c>
      <c r="J4" s="3" t="s">
        <v>23</v>
      </c>
      <c r="K4" s="3" t="s">
        <v>45</v>
      </c>
      <c r="L4" s="3" t="s">
        <v>46</v>
      </c>
      <c r="M4" s="3" t="s">
        <v>26</v>
      </c>
      <c r="N4" s="4" t="n">
        <v>46402</v>
      </c>
    </row>
    <row r="5" customFormat="false" ht="42" hidden="false" customHeight="true" outlineLevel="0" collapsed="false">
      <c r="A5" s="2" t="s">
        <v>47</v>
      </c>
      <c r="B5" s="3" t="s">
        <v>48</v>
      </c>
      <c r="C5" s="3" t="s">
        <v>49</v>
      </c>
      <c r="D5" s="3" t="s">
        <v>17</v>
      </c>
      <c r="E5" s="3" t="s">
        <v>50</v>
      </c>
      <c r="F5" s="3" t="s">
        <v>51</v>
      </c>
      <c r="G5" s="3" t="s">
        <v>52</v>
      </c>
      <c r="H5" s="3" t="s">
        <v>21</v>
      </c>
      <c r="I5" s="3" t="s">
        <v>22</v>
      </c>
      <c r="J5" s="3" t="s">
        <v>23</v>
      </c>
      <c r="K5" s="3" t="s">
        <v>53</v>
      </c>
      <c r="L5" s="3" t="s">
        <v>54</v>
      </c>
      <c r="M5" s="3" t="s">
        <v>26</v>
      </c>
      <c r="N5" s="4" t="n">
        <v>46402</v>
      </c>
    </row>
    <row r="6" customFormat="false" ht="42" hidden="false" customHeight="true" outlineLevel="0" collapsed="false">
      <c r="A6" s="2" t="s">
        <v>55</v>
      </c>
      <c r="B6" s="3" t="s">
        <v>56</v>
      </c>
      <c r="C6" s="3" t="s">
        <v>57</v>
      </c>
      <c r="D6" s="3" t="s">
        <v>17</v>
      </c>
      <c r="E6" s="3" t="s">
        <v>58</v>
      </c>
      <c r="F6" s="3" t="s">
        <v>59</v>
      </c>
      <c r="G6" s="3" t="s">
        <v>60</v>
      </c>
      <c r="H6" s="3" t="s">
        <v>21</v>
      </c>
      <c r="I6" s="3" t="s">
        <v>26</v>
      </c>
      <c r="J6" s="3" t="s">
        <v>61</v>
      </c>
      <c r="K6" s="3" t="s">
        <v>62</v>
      </c>
      <c r="L6" s="3" t="s">
        <v>63</v>
      </c>
      <c r="M6" s="3" t="s">
        <v>64</v>
      </c>
      <c r="N6" s="4" t="n">
        <v>46402</v>
      </c>
    </row>
    <row r="7" customFormat="false" ht="42" hidden="false" customHeight="true" outlineLevel="0" collapsed="false">
      <c r="A7" s="2" t="s">
        <v>65</v>
      </c>
      <c r="B7" s="3" t="s">
        <v>66</v>
      </c>
      <c r="C7" s="3" t="s">
        <v>67</v>
      </c>
      <c r="D7" s="3" t="s">
        <v>68</v>
      </c>
      <c r="E7" s="3" t="s">
        <v>69</v>
      </c>
      <c r="F7" s="3" t="s">
        <v>70</v>
      </c>
      <c r="G7" s="3" t="s">
        <v>20</v>
      </c>
      <c r="H7" s="3" t="s">
        <v>71</v>
      </c>
      <c r="I7" s="3" t="s">
        <v>22</v>
      </c>
      <c r="J7" s="3" t="s">
        <v>72</v>
      </c>
      <c r="K7" s="3" t="s">
        <v>73</v>
      </c>
      <c r="L7" s="3" t="s">
        <v>74</v>
      </c>
      <c r="M7" s="3" t="s">
        <v>26</v>
      </c>
      <c r="N7" s="4" t="n">
        <v>46402</v>
      </c>
    </row>
    <row r="8" customFormat="false" ht="42" hidden="false" customHeight="true" outlineLevel="0" collapsed="false">
      <c r="A8" s="2" t="s">
        <v>75</v>
      </c>
      <c r="B8" s="3" t="s">
        <v>76</v>
      </c>
      <c r="C8" s="3" t="s">
        <v>77</v>
      </c>
      <c r="D8" s="3" t="s">
        <v>78</v>
      </c>
      <c r="E8" s="3" t="s">
        <v>69</v>
      </c>
      <c r="F8" s="3" t="s">
        <v>70</v>
      </c>
      <c r="G8" s="3" t="s">
        <v>20</v>
      </c>
      <c r="H8" s="3" t="s">
        <v>21</v>
      </c>
      <c r="I8" s="3" t="s">
        <v>22</v>
      </c>
      <c r="J8" s="3" t="s">
        <v>23</v>
      </c>
      <c r="K8" s="3" t="s">
        <v>79</v>
      </c>
      <c r="L8" s="3" t="s">
        <v>80</v>
      </c>
      <c r="M8" s="3" t="s">
        <v>26</v>
      </c>
      <c r="N8" s="4" t="n">
        <v>46402</v>
      </c>
    </row>
    <row r="9" customFormat="false" ht="42" hidden="false" customHeight="true" outlineLevel="0" collapsed="false">
      <c r="A9" s="2" t="s">
        <v>81</v>
      </c>
      <c r="B9" s="3" t="s">
        <v>82</v>
      </c>
      <c r="C9" s="3" t="s">
        <v>83</v>
      </c>
      <c r="D9" s="3" t="s">
        <v>78</v>
      </c>
      <c r="E9" s="3" t="s">
        <v>18</v>
      </c>
      <c r="F9" s="3" t="s">
        <v>84</v>
      </c>
      <c r="G9" s="3" t="s">
        <v>20</v>
      </c>
      <c r="H9" s="3" t="s">
        <v>71</v>
      </c>
      <c r="I9" s="3" t="s">
        <v>22</v>
      </c>
      <c r="J9" s="3" t="s">
        <v>23</v>
      </c>
      <c r="K9" s="3" t="s">
        <v>85</v>
      </c>
      <c r="L9" s="3" t="s">
        <v>86</v>
      </c>
      <c r="M9" s="3" t="s">
        <v>26</v>
      </c>
      <c r="N9" s="4" t="n">
        <v>46402</v>
      </c>
    </row>
    <row r="10" customFormat="false" ht="42" hidden="false" customHeight="true" outlineLevel="0" collapsed="false">
      <c r="A10" s="2" t="s">
        <v>87</v>
      </c>
      <c r="B10" s="3" t="s">
        <v>88</v>
      </c>
      <c r="C10" s="3" t="s">
        <v>89</v>
      </c>
      <c r="D10" s="3" t="s">
        <v>40</v>
      </c>
      <c r="E10" s="3" t="s">
        <v>90</v>
      </c>
      <c r="F10" s="3" t="s">
        <v>91</v>
      </c>
      <c r="G10" s="3" t="s">
        <v>20</v>
      </c>
      <c r="H10" s="3" t="s">
        <v>44</v>
      </c>
      <c r="I10" s="3" t="s">
        <v>22</v>
      </c>
      <c r="J10" s="3" t="s">
        <v>92</v>
      </c>
      <c r="K10" s="3" t="s">
        <v>79</v>
      </c>
      <c r="L10" s="3" t="s">
        <v>93</v>
      </c>
      <c r="M10" s="3" t="s">
        <v>26</v>
      </c>
      <c r="N10" s="4" t="n">
        <v>46402</v>
      </c>
    </row>
    <row r="11" customFormat="false" ht="42" hidden="false" customHeight="true" outlineLevel="0" collapsed="false">
      <c r="A11" s="2" t="s">
        <v>94</v>
      </c>
      <c r="B11" s="3" t="s">
        <v>95</v>
      </c>
      <c r="C11" s="3" t="s">
        <v>96</v>
      </c>
      <c r="D11" s="3" t="s">
        <v>17</v>
      </c>
      <c r="E11" s="3" t="s">
        <v>97</v>
      </c>
      <c r="F11" s="3" t="s">
        <v>98</v>
      </c>
      <c r="G11" s="3" t="s">
        <v>99</v>
      </c>
      <c r="H11" s="3" t="s">
        <v>21</v>
      </c>
      <c r="I11" s="3" t="s">
        <v>26</v>
      </c>
      <c r="J11" s="3" t="s">
        <v>100</v>
      </c>
      <c r="K11" s="3" t="s">
        <v>79</v>
      </c>
      <c r="L11" s="3" t="s">
        <v>101</v>
      </c>
      <c r="M11" s="3" t="s">
        <v>26</v>
      </c>
      <c r="N11" s="4" t="n">
        <v>46402</v>
      </c>
    </row>
    <row r="12" customFormat="false" ht="42" hidden="false" customHeight="true" outlineLevel="0" collapsed="false">
      <c r="A12" s="2" t="s">
        <v>102</v>
      </c>
      <c r="B12" s="3" t="s">
        <v>103</v>
      </c>
      <c r="C12" s="3" t="s">
        <v>104</v>
      </c>
      <c r="D12" s="3" t="s">
        <v>17</v>
      </c>
      <c r="E12" s="3" t="s">
        <v>97</v>
      </c>
      <c r="F12" s="3" t="s">
        <v>105</v>
      </c>
      <c r="G12" s="3" t="s">
        <v>99</v>
      </c>
      <c r="H12" s="3" t="s">
        <v>21</v>
      </c>
      <c r="I12" s="3" t="s">
        <v>26</v>
      </c>
      <c r="J12" s="3" t="s">
        <v>34</v>
      </c>
      <c r="K12" s="3" t="s">
        <v>79</v>
      </c>
      <c r="L12" s="3" t="s">
        <v>106</v>
      </c>
      <c r="M12" s="3" t="s">
        <v>64</v>
      </c>
      <c r="N12" s="4" t="n">
        <v>46402</v>
      </c>
    </row>
    <row r="13" customFormat="false" ht="42" hidden="false" customHeight="true" outlineLevel="0" collapsed="false">
      <c r="A13" s="2" t="s">
        <v>107</v>
      </c>
      <c r="B13" s="3" t="s">
        <v>108</v>
      </c>
      <c r="C13" s="3" t="s">
        <v>109</v>
      </c>
      <c r="D13" s="3" t="s">
        <v>68</v>
      </c>
      <c r="E13" s="3" t="s">
        <v>69</v>
      </c>
      <c r="F13" s="3" t="s">
        <v>70</v>
      </c>
      <c r="G13" s="3" t="s">
        <v>20</v>
      </c>
      <c r="H13" s="3" t="s">
        <v>71</v>
      </c>
      <c r="I13" s="3" t="s">
        <v>22</v>
      </c>
      <c r="J13" s="3" t="s">
        <v>72</v>
      </c>
      <c r="K13" s="3" t="s">
        <v>110</v>
      </c>
      <c r="L13" s="3" t="s">
        <v>111</v>
      </c>
      <c r="M13" s="3" t="s">
        <v>26</v>
      </c>
      <c r="N13" s="4" t="n">
        <v>46402</v>
      </c>
    </row>
    <row r="14" customFormat="false" ht="42" hidden="false" customHeight="true" outlineLevel="0" collapsed="false">
      <c r="A14" s="2" t="s">
        <v>112</v>
      </c>
      <c r="B14" s="3" t="s">
        <v>113</v>
      </c>
      <c r="C14" s="3" t="s">
        <v>114</v>
      </c>
      <c r="D14" s="3" t="s">
        <v>115</v>
      </c>
      <c r="E14" s="3" t="s">
        <v>116</v>
      </c>
      <c r="F14" s="3" t="s">
        <v>117</v>
      </c>
      <c r="G14" s="3" t="s">
        <v>118</v>
      </c>
      <c r="H14" s="3" t="s">
        <v>71</v>
      </c>
      <c r="I14" s="3" t="s">
        <v>22</v>
      </c>
      <c r="J14" s="3" t="s">
        <v>119</v>
      </c>
      <c r="K14" s="3" t="s">
        <v>79</v>
      </c>
      <c r="L14" s="3" t="s">
        <v>120</v>
      </c>
      <c r="M14" s="3" t="s">
        <v>26</v>
      </c>
      <c r="N14" s="4" t="n">
        <v>46402</v>
      </c>
    </row>
    <row r="15" customFormat="false" ht="42" hidden="false" customHeight="true" outlineLevel="0" collapsed="false">
      <c r="A15" s="2" t="s">
        <v>121</v>
      </c>
      <c r="B15" s="3" t="s">
        <v>122</v>
      </c>
      <c r="C15" s="3" t="s">
        <v>123</v>
      </c>
      <c r="D15" s="3" t="s">
        <v>78</v>
      </c>
      <c r="E15" s="3" t="s">
        <v>124</v>
      </c>
      <c r="F15" s="3" t="s">
        <v>125</v>
      </c>
      <c r="G15" s="3" t="s">
        <v>20</v>
      </c>
      <c r="H15" s="3" t="s">
        <v>44</v>
      </c>
      <c r="I15" s="3" t="s">
        <v>22</v>
      </c>
      <c r="J15" s="3" t="s">
        <v>126</v>
      </c>
      <c r="K15" s="3" t="s">
        <v>79</v>
      </c>
      <c r="L15" s="3" t="s">
        <v>127</v>
      </c>
      <c r="M15" s="3" t="s">
        <v>26</v>
      </c>
      <c r="N15" s="4" t="n">
        <v>46402</v>
      </c>
    </row>
    <row r="16" customFormat="false" ht="42" hidden="false" customHeight="true" outlineLevel="0" collapsed="false">
      <c r="A16" s="2" t="s">
        <v>128</v>
      </c>
      <c r="B16" s="3" t="s">
        <v>129</v>
      </c>
      <c r="C16" s="3" t="s">
        <v>130</v>
      </c>
      <c r="D16" s="3" t="s">
        <v>30</v>
      </c>
      <c r="E16" s="3" t="s">
        <v>69</v>
      </c>
      <c r="F16" s="3" t="s">
        <v>32</v>
      </c>
      <c r="G16" s="3" t="s">
        <v>20</v>
      </c>
      <c r="H16" s="3" t="s">
        <v>71</v>
      </c>
      <c r="I16" s="3" t="s">
        <v>22</v>
      </c>
      <c r="J16" s="3" t="s">
        <v>131</v>
      </c>
      <c r="K16" s="3" t="s">
        <v>132</v>
      </c>
      <c r="L16" s="3" t="s">
        <v>133</v>
      </c>
      <c r="M16" s="3" t="s">
        <v>64</v>
      </c>
      <c r="N16" s="4" t="n">
        <v>46402</v>
      </c>
    </row>
    <row r="17" customFormat="false" ht="42" hidden="false" customHeight="true" outlineLevel="0" collapsed="false">
      <c r="A17" s="2" t="s">
        <v>134</v>
      </c>
      <c r="B17" s="3" t="s">
        <v>135</v>
      </c>
      <c r="C17" s="3" t="s">
        <v>136</v>
      </c>
      <c r="D17" s="3" t="s">
        <v>17</v>
      </c>
      <c r="E17" s="3" t="s">
        <v>137</v>
      </c>
      <c r="F17" s="3" t="s">
        <v>138</v>
      </c>
      <c r="G17" s="3" t="s">
        <v>139</v>
      </c>
      <c r="H17" s="3" t="s">
        <v>44</v>
      </c>
      <c r="I17" s="3" t="s">
        <v>22</v>
      </c>
      <c r="J17" s="3" t="s">
        <v>126</v>
      </c>
      <c r="K17" s="3" t="s">
        <v>140</v>
      </c>
      <c r="L17" s="3" t="s">
        <v>141</v>
      </c>
      <c r="M17" s="3" t="s">
        <v>26</v>
      </c>
      <c r="N17" s="4" t="n">
        <v>46402</v>
      </c>
    </row>
    <row r="18" customFormat="false" ht="42" hidden="false" customHeight="true" outlineLevel="0" collapsed="false">
      <c r="A18" s="2" t="s">
        <v>142</v>
      </c>
      <c r="B18" s="3" t="s">
        <v>143</v>
      </c>
      <c r="C18" s="3" t="s">
        <v>144</v>
      </c>
      <c r="D18" s="3" t="s">
        <v>17</v>
      </c>
      <c r="E18" s="3" t="s">
        <v>137</v>
      </c>
      <c r="F18" s="3" t="s">
        <v>145</v>
      </c>
      <c r="G18" s="3" t="s">
        <v>139</v>
      </c>
      <c r="H18" s="3" t="s">
        <v>21</v>
      </c>
      <c r="I18" s="3" t="s">
        <v>26</v>
      </c>
      <c r="J18" s="3" t="s">
        <v>146</v>
      </c>
      <c r="K18" s="3" t="s">
        <v>110</v>
      </c>
      <c r="L18" s="3" t="s">
        <v>147</v>
      </c>
      <c r="M18" s="3" t="s">
        <v>64</v>
      </c>
      <c r="N18" s="4" t="n">
        <v>46402</v>
      </c>
    </row>
    <row r="19" customFormat="false" ht="42" hidden="false" customHeight="true" outlineLevel="0" collapsed="false">
      <c r="A19" s="2" t="s">
        <v>148</v>
      </c>
      <c r="B19" s="3" t="s">
        <v>149</v>
      </c>
      <c r="C19" s="3" t="s">
        <v>150</v>
      </c>
      <c r="D19" s="3" t="s">
        <v>17</v>
      </c>
      <c r="E19" s="3" t="s">
        <v>151</v>
      </c>
      <c r="F19" s="3" t="s">
        <v>152</v>
      </c>
      <c r="G19" s="3" t="s">
        <v>99</v>
      </c>
      <c r="H19" s="3" t="s">
        <v>44</v>
      </c>
      <c r="I19" s="3" t="s">
        <v>22</v>
      </c>
      <c r="J19" s="3" t="s">
        <v>126</v>
      </c>
      <c r="K19" s="3" t="s">
        <v>79</v>
      </c>
      <c r="L19" s="3" t="s">
        <v>153</v>
      </c>
      <c r="M19" s="3" t="s">
        <v>26</v>
      </c>
      <c r="N19" s="4" t="n">
        <v>46402</v>
      </c>
    </row>
    <row r="20" customFormat="false" ht="42" hidden="false" customHeight="true" outlineLevel="0" collapsed="false">
      <c r="A20" s="2" t="s">
        <v>154</v>
      </c>
      <c r="B20" s="3" t="s">
        <v>155</v>
      </c>
      <c r="C20" s="3" t="s">
        <v>156</v>
      </c>
      <c r="D20" s="3" t="s">
        <v>17</v>
      </c>
      <c r="E20" s="3" t="s">
        <v>31</v>
      </c>
      <c r="F20" s="3" t="s">
        <v>157</v>
      </c>
      <c r="G20" s="3" t="s">
        <v>20</v>
      </c>
      <c r="H20" s="3" t="s">
        <v>21</v>
      </c>
      <c r="I20" s="3" t="s">
        <v>22</v>
      </c>
      <c r="J20" s="3" t="s">
        <v>34</v>
      </c>
      <c r="K20" s="3" t="s">
        <v>140</v>
      </c>
      <c r="L20" s="3" t="s">
        <v>158</v>
      </c>
      <c r="M20" s="3" t="s">
        <v>26</v>
      </c>
      <c r="N20" s="4" t="n">
        <v>46402</v>
      </c>
    </row>
    <row r="21" customFormat="false" ht="42" hidden="false" customHeight="true" outlineLevel="0" collapsed="false">
      <c r="A21" s="2" t="s">
        <v>159</v>
      </c>
      <c r="B21" s="3" t="s">
        <v>160</v>
      </c>
      <c r="C21" s="3" t="s">
        <v>161</v>
      </c>
      <c r="D21" s="3" t="s">
        <v>68</v>
      </c>
      <c r="E21" s="3" t="s">
        <v>31</v>
      </c>
      <c r="F21" s="3" t="s">
        <v>162</v>
      </c>
      <c r="G21" s="3" t="s">
        <v>20</v>
      </c>
      <c r="H21" s="3" t="s">
        <v>21</v>
      </c>
      <c r="I21" s="3" t="s">
        <v>26</v>
      </c>
      <c r="J21" s="3" t="s">
        <v>163</v>
      </c>
      <c r="K21" s="3" t="s">
        <v>140</v>
      </c>
      <c r="L21" s="3" t="s">
        <v>164</v>
      </c>
      <c r="M21" s="3" t="s">
        <v>64</v>
      </c>
      <c r="N21" s="4" t="n">
        <v>46402</v>
      </c>
    </row>
    <row r="22" customFormat="false" ht="42" hidden="false" customHeight="true" outlineLevel="0" collapsed="false">
      <c r="A22" s="2" t="s">
        <v>165</v>
      </c>
      <c r="B22" s="3" t="s">
        <v>166</v>
      </c>
      <c r="C22" s="3" t="s">
        <v>167</v>
      </c>
      <c r="D22" s="3" t="s">
        <v>68</v>
      </c>
      <c r="E22" s="3" t="s">
        <v>18</v>
      </c>
      <c r="F22" s="3" t="s">
        <v>19</v>
      </c>
      <c r="G22" s="3" t="s">
        <v>20</v>
      </c>
      <c r="H22" s="3" t="s">
        <v>71</v>
      </c>
      <c r="I22" s="3" t="s">
        <v>22</v>
      </c>
      <c r="J22" s="3" t="s">
        <v>23</v>
      </c>
      <c r="K22" s="3" t="s">
        <v>85</v>
      </c>
      <c r="L22" s="3" t="s">
        <v>168</v>
      </c>
      <c r="M22" s="3" t="s">
        <v>64</v>
      </c>
      <c r="N22" s="4" t="n">
        <v>46402</v>
      </c>
    </row>
    <row r="23" customFormat="false" ht="42" hidden="false" customHeight="true" outlineLevel="0" collapsed="false">
      <c r="A23" s="2" t="s">
        <v>169</v>
      </c>
      <c r="B23" s="3" t="s">
        <v>170</v>
      </c>
      <c r="C23" s="3" t="s">
        <v>171</v>
      </c>
      <c r="D23" s="3" t="s">
        <v>68</v>
      </c>
      <c r="E23" s="3" t="s">
        <v>18</v>
      </c>
      <c r="F23" s="3" t="s">
        <v>172</v>
      </c>
      <c r="G23" s="3" t="s">
        <v>20</v>
      </c>
      <c r="H23" s="3" t="s">
        <v>44</v>
      </c>
      <c r="I23" s="3" t="s">
        <v>22</v>
      </c>
      <c r="J23" s="3" t="s">
        <v>23</v>
      </c>
      <c r="K23" s="3" t="s">
        <v>79</v>
      </c>
      <c r="L23" s="3" t="s">
        <v>173</v>
      </c>
      <c r="M23" s="3" t="s">
        <v>26</v>
      </c>
      <c r="N23" s="4" t="n">
        <v>46402</v>
      </c>
    </row>
    <row r="24" customFormat="false" ht="42" hidden="false" customHeight="true" outlineLevel="0" collapsed="false">
      <c r="A24" s="2" t="s">
        <v>174</v>
      </c>
      <c r="B24" s="3" t="s">
        <v>175</v>
      </c>
      <c r="C24" s="3" t="s">
        <v>176</v>
      </c>
      <c r="D24" s="3" t="s">
        <v>68</v>
      </c>
      <c r="E24" s="3" t="s">
        <v>177</v>
      </c>
      <c r="F24" s="3" t="s">
        <v>178</v>
      </c>
      <c r="G24" s="3" t="s">
        <v>179</v>
      </c>
      <c r="H24" s="3" t="s">
        <v>71</v>
      </c>
      <c r="I24" s="3" t="s">
        <v>64</v>
      </c>
      <c r="J24" s="3" t="s">
        <v>180</v>
      </c>
      <c r="K24" s="3" t="s">
        <v>181</v>
      </c>
      <c r="L24" s="3" t="s">
        <v>182</v>
      </c>
      <c r="M24" s="3" t="s">
        <v>183</v>
      </c>
      <c r="N24" s="4" t="n">
        <v>46402</v>
      </c>
    </row>
    <row r="25" customFormat="false" ht="42" hidden="false" customHeight="true" outlineLevel="0" collapsed="false">
      <c r="A25" s="2" t="s">
        <v>184</v>
      </c>
      <c r="B25" s="3" t="s">
        <v>185</v>
      </c>
      <c r="C25" s="3" t="s">
        <v>186</v>
      </c>
      <c r="D25" s="3" t="s">
        <v>40</v>
      </c>
      <c r="E25" s="3" t="s">
        <v>137</v>
      </c>
      <c r="F25" s="3" t="s">
        <v>42</v>
      </c>
      <c r="G25" s="3" t="s">
        <v>139</v>
      </c>
      <c r="H25" s="3" t="s">
        <v>44</v>
      </c>
      <c r="I25" s="3" t="s">
        <v>22</v>
      </c>
      <c r="J25" s="3" t="s">
        <v>126</v>
      </c>
      <c r="K25" s="3" t="s">
        <v>187</v>
      </c>
      <c r="L25" s="3" t="s">
        <v>188</v>
      </c>
      <c r="M25" s="3" t="s">
        <v>26</v>
      </c>
      <c r="N25" s="4" t="n">
        <v>46402</v>
      </c>
    </row>
    <row r="26" customFormat="false" ht="42" hidden="false" customHeight="true" outlineLevel="0" collapsed="false">
      <c r="A26" s="2" t="s">
        <v>189</v>
      </c>
      <c r="B26" s="3" t="s">
        <v>190</v>
      </c>
      <c r="C26" s="3" t="s">
        <v>191</v>
      </c>
      <c r="D26" s="3" t="s">
        <v>40</v>
      </c>
      <c r="E26" s="3" t="s">
        <v>31</v>
      </c>
      <c r="F26" s="3" t="s">
        <v>19</v>
      </c>
      <c r="G26" s="3" t="s">
        <v>33</v>
      </c>
      <c r="H26" s="3" t="s">
        <v>21</v>
      </c>
      <c r="I26" s="3" t="s">
        <v>26</v>
      </c>
      <c r="J26" s="3" t="s">
        <v>23</v>
      </c>
      <c r="K26" s="3" t="s">
        <v>192</v>
      </c>
      <c r="L26" s="3" t="s">
        <v>193</v>
      </c>
      <c r="M26" s="3" t="s">
        <v>64</v>
      </c>
      <c r="N26" s="4" t="n">
        <v>46402</v>
      </c>
    </row>
    <row r="27" customFormat="false" ht="42" hidden="false" customHeight="true" outlineLevel="0" collapsed="false">
      <c r="A27" s="2" t="s">
        <v>194</v>
      </c>
      <c r="B27" s="3" t="s">
        <v>195</v>
      </c>
      <c r="C27" s="3" t="s">
        <v>196</v>
      </c>
      <c r="D27" s="3" t="s">
        <v>40</v>
      </c>
      <c r="E27" s="3" t="s">
        <v>97</v>
      </c>
      <c r="F27" s="3" t="s">
        <v>98</v>
      </c>
      <c r="G27" s="3" t="s">
        <v>99</v>
      </c>
      <c r="H27" s="3" t="s">
        <v>21</v>
      </c>
      <c r="I27" s="3" t="s">
        <v>26</v>
      </c>
      <c r="J27" s="3" t="s">
        <v>126</v>
      </c>
      <c r="K27" s="3" t="s">
        <v>79</v>
      </c>
      <c r="L27" s="3" t="s">
        <v>197</v>
      </c>
      <c r="M27" s="3" t="s">
        <v>64</v>
      </c>
      <c r="N27" s="4" t="n">
        <v>46402</v>
      </c>
    </row>
    <row r="28" customFormat="false" ht="42" hidden="false" customHeight="true" outlineLevel="0" collapsed="false">
      <c r="A28" s="2" t="s">
        <v>198</v>
      </c>
      <c r="B28" s="3" t="s">
        <v>199</v>
      </c>
      <c r="C28" s="3" t="s">
        <v>200</v>
      </c>
      <c r="D28" s="3" t="s">
        <v>40</v>
      </c>
      <c r="E28" s="3" t="s">
        <v>90</v>
      </c>
      <c r="F28" s="3" t="s">
        <v>125</v>
      </c>
      <c r="G28" s="3" t="s">
        <v>20</v>
      </c>
      <c r="H28" s="3" t="s">
        <v>44</v>
      </c>
      <c r="I28" s="3" t="s">
        <v>22</v>
      </c>
      <c r="J28" s="3" t="s">
        <v>201</v>
      </c>
      <c r="K28" s="3" t="s">
        <v>79</v>
      </c>
      <c r="L28" s="3" t="s">
        <v>202</v>
      </c>
      <c r="M28" s="3" t="s">
        <v>64</v>
      </c>
      <c r="N28" s="4" t="n">
        <v>46402</v>
      </c>
    </row>
    <row r="29" customFormat="false" ht="42" hidden="false" customHeight="true" outlineLevel="0" collapsed="false">
      <c r="A29" s="2" t="s">
        <v>203</v>
      </c>
      <c r="B29" s="3" t="s">
        <v>204</v>
      </c>
      <c r="C29" s="3" t="s">
        <v>205</v>
      </c>
      <c r="D29" s="3" t="s">
        <v>78</v>
      </c>
      <c r="E29" s="3" t="s">
        <v>124</v>
      </c>
      <c r="F29" s="3" t="s">
        <v>125</v>
      </c>
      <c r="G29" s="3" t="s">
        <v>20</v>
      </c>
      <c r="H29" s="3" t="s">
        <v>71</v>
      </c>
      <c r="I29" s="3" t="s">
        <v>64</v>
      </c>
      <c r="J29" s="3" t="s">
        <v>126</v>
      </c>
      <c r="K29" s="3" t="s">
        <v>206</v>
      </c>
      <c r="L29" s="3" t="s">
        <v>207</v>
      </c>
      <c r="M29" s="3" t="s">
        <v>64</v>
      </c>
      <c r="N29" s="4" t="n">
        <v>46402</v>
      </c>
    </row>
    <row r="30" customFormat="false" ht="42" hidden="false" customHeight="true" outlineLevel="0" collapsed="false">
      <c r="A30" s="2" t="s">
        <v>208</v>
      </c>
      <c r="B30" s="3" t="s">
        <v>209</v>
      </c>
      <c r="C30" s="3" t="s">
        <v>210</v>
      </c>
      <c r="D30" s="3" t="s">
        <v>78</v>
      </c>
      <c r="E30" s="3" t="s">
        <v>69</v>
      </c>
      <c r="F30" s="3" t="s">
        <v>70</v>
      </c>
      <c r="G30" s="3" t="s">
        <v>20</v>
      </c>
      <c r="H30" s="3" t="s">
        <v>21</v>
      </c>
      <c r="I30" s="3" t="s">
        <v>22</v>
      </c>
      <c r="J30" s="3" t="s">
        <v>23</v>
      </c>
      <c r="K30" s="3" t="s">
        <v>79</v>
      </c>
      <c r="L30" s="3" t="s">
        <v>211</v>
      </c>
      <c r="M30" s="3" t="s">
        <v>26</v>
      </c>
      <c r="N30" s="4" t="n">
        <v>46402</v>
      </c>
    </row>
    <row r="31" customFormat="false" ht="42" hidden="false" customHeight="true" outlineLevel="0" collapsed="false">
      <c r="A31" s="2" t="s">
        <v>212</v>
      </c>
      <c r="B31" s="3" t="s">
        <v>213</v>
      </c>
      <c r="C31" s="3" t="s">
        <v>214</v>
      </c>
      <c r="D31" s="3" t="s">
        <v>78</v>
      </c>
      <c r="E31" s="3" t="s">
        <v>69</v>
      </c>
      <c r="F31" s="3" t="s">
        <v>70</v>
      </c>
      <c r="G31" s="3" t="s">
        <v>20</v>
      </c>
      <c r="H31" s="3" t="s">
        <v>21</v>
      </c>
      <c r="I31" s="3" t="s">
        <v>26</v>
      </c>
      <c r="J31" s="3" t="s">
        <v>23</v>
      </c>
      <c r="K31" s="3" t="s">
        <v>35</v>
      </c>
      <c r="L31" s="3" t="s">
        <v>215</v>
      </c>
      <c r="M31" s="3" t="s">
        <v>64</v>
      </c>
      <c r="N31" s="4" t="n">
        <v>46402</v>
      </c>
    </row>
    <row r="32" customFormat="false" ht="42" hidden="false" customHeight="true" outlineLevel="0" collapsed="false">
      <c r="A32" s="2" t="s">
        <v>216</v>
      </c>
      <c r="B32" s="3" t="s">
        <v>23</v>
      </c>
      <c r="C32" s="3" t="s">
        <v>217</v>
      </c>
      <c r="D32" s="3" t="s">
        <v>115</v>
      </c>
      <c r="E32" s="3" t="s">
        <v>116</v>
      </c>
      <c r="F32" s="3" t="s">
        <v>117</v>
      </c>
      <c r="G32" s="3" t="s">
        <v>118</v>
      </c>
      <c r="H32" s="3" t="s">
        <v>71</v>
      </c>
      <c r="I32" s="3" t="s">
        <v>22</v>
      </c>
      <c r="J32" s="3" t="s">
        <v>218</v>
      </c>
      <c r="K32" s="3" t="s">
        <v>219</v>
      </c>
      <c r="L32" s="3" t="s">
        <v>120</v>
      </c>
      <c r="M32" s="3" t="s">
        <v>26</v>
      </c>
      <c r="N32" s="4" t="n">
        <v>46402</v>
      </c>
    </row>
    <row r="33" customFormat="false" ht="42" hidden="false" customHeight="true" outlineLevel="0" collapsed="false">
      <c r="A33" s="2" t="s">
        <v>220</v>
      </c>
      <c r="B33" s="3" t="s">
        <v>92</v>
      </c>
      <c r="C33" s="3" t="s">
        <v>221</v>
      </c>
      <c r="D33" s="3" t="s">
        <v>115</v>
      </c>
      <c r="E33" s="3" t="s">
        <v>116</v>
      </c>
      <c r="F33" s="3" t="s">
        <v>117</v>
      </c>
      <c r="G33" s="3" t="s">
        <v>118</v>
      </c>
      <c r="H33" s="3" t="s">
        <v>71</v>
      </c>
      <c r="I33" s="3" t="s">
        <v>22</v>
      </c>
      <c r="J33" s="3" t="s">
        <v>92</v>
      </c>
      <c r="K33" s="3" t="s">
        <v>79</v>
      </c>
      <c r="L33" s="3" t="s">
        <v>222</v>
      </c>
      <c r="M33" s="3" t="s">
        <v>64</v>
      </c>
      <c r="N33" s="4" t="n">
        <v>46402</v>
      </c>
    </row>
    <row r="34" customFormat="false" ht="42" hidden="false" customHeight="true" outlineLevel="0" collapsed="false">
      <c r="A34" s="2" t="s">
        <v>223</v>
      </c>
      <c r="B34" s="3" t="s">
        <v>224</v>
      </c>
      <c r="C34" s="3" t="s">
        <v>225</v>
      </c>
      <c r="D34" s="3" t="s">
        <v>115</v>
      </c>
      <c r="E34" s="3" t="s">
        <v>116</v>
      </c>
      <c r="F34" s="3" t="s">
        <v>117</v>
      </c>
      <c r="G34" s="3" t="s">
        <v>118</v>
      </c>
      <c r="H34" s="3" t="s">
        <v>71</v>
      </c>
      <c r="I34" s="3" t="s">
        <v>64</v>
      </c>
      <c r="J34" s="3" t="s">
        <v>226</v>
      </c>
      <c r="K34" s="3" t="s">
        <v>227</v>
      </c>
      <c r="L34" s="3" t="s">
        <v>228</v>
      </c>
      <c r="M34" s="3" t="s">
        <v>64</v>
      </c>
      <c r="N34" s="4" t="n">
        <v>46402</v>
      </c>
    </row>
    <row r="35" customFormat="false" ht="42" hidden="false" customHeight="true" outlineLevel="0" collapsed="false">
      <c r="A35" s="2" t="s">
        <v>229</v>
      </c>
      <c r="B35" s="3" t="s">
        <v>230</v>
      </c>
      <c r="C35" s="3" t="s">
        <v>231</v>
      </c>
      <c r="D35" s="3" t="s">
        <v>115</v>
      </c>
      <c r="E35" s="3" t="s">
        <v>116</v>
      </c>
      <c r="F35" s="3" t="s">
        <v>117</v>
      </c>
      <c r="G35" s="3" t="s">
        <v>118</v>
      </c>
      <c r="H35" s="3" t="s">
        <v>71</v>
      </c>
      <c r="I35" s="3" t="s">
        <v>64</v>
      </c>
      <c r="J35" s="3" t="s">
        <v>232</v>
      </c>
      <c r="K35" s="3" t="s">
        <v>24</v>
      </c>
      <c r="L35" s="3" t="s">
        <v>228</v>
      </c>
      <c r="M35" s="3" t="s">
        <v>64</v>
      </c>
      <c r="N35" s="4" t="n">
        <v>46402</v>
      </c>
    </row>
    <row r="36" customFormat="false" ht="42" hidden="false" customHeight="true" outlineLevel="0" collapsed="false">
      <c r="A36" s="2" t="s">
        <v>233</v>
      </c>
      <c r="B36" s="3" t="s">
        <v>234</v>
      </c>
      <c r="C36" s="3" t="s">
        <v>235</v>
      </c>
      <c r="D36" s="3" t="s">
        <v>30</v>
      </c>
      <c r="E36" s="3" t="s">
        <v>18</v>
      </c>
      <c r="F36" s="3" t="s">
        <v>70</v>
      </c>
      <c r="G36" s="3" t="s">
        <v>20</v>
      </c>
      <c r="H36" s="3" t="s">
        <v>71</v>
      </c>
      <c r="I36" s="3" t="s">
        <v>22</v>
      </c>
      <c r="J36" s="3" t="s">
        <v>23</v>
      </c>
      <c r="K36" s="3" t="s">
        <v>110</v>
      </c>
      <c r="L36" s="3" t="s">
        <v>236</v>
      </c>
      <c r="M36" s="3" t="s">
        <v>64</v>
      </c>
      <c r="N36" s="4" t="n">
        <v>46402</v>
      </c>
    </row>
    <row r="37" customFormat="false" ht="42" hidden="false" customHeight="true" outlineLevel="0" collapsed="false">
      <c r="A37" s="2" t="s">
        <v>237</v>
      </c>
      <c r="B37" s="3" t="s">
        <v>238</v>
      </c>
      <c r="C37" s="3" t="s">
        <v>239</v>
      </c>
      <c r="D37" s="3" t="s">
        <v>30</v>
      </c>
      <c r="E37" s="3" t="s">
        <v>90</v>
      </c>
      <c r="F37" s="3" t="s">
        <v>91</v>
      </c>
      <c r="G37" s="3" t="s">
        <v>20</v>
      </c>
      <c r="H37" s="3" t="s">
        <v>21</v>
      </c>
      <c r="I37" s="3" t="s">
        <v>22</v>
      </c>
      <c r="J37" s="3" t="s">
        <v>23</v>
      </c>
      <c r="K37" s="3" t="s">
        <v>79</v>
      </c>
      <c r="L37" s="3" t="s">
        <v>240</v>
      </c>
      <c r="M37" s="3" t="s">
        <v>26</v>
      </c>
      <c r="N37" s="4" t="n">
        <v>46402</v>
      </c>
    </row>
    <row r="38" customFormat="false" ht="42" hidden="false" customHeight="true" outlineLevel="0" collapsed="false">
      <c r="A38" s="2" t="s">
        <v>241</v>
      </c>
      <c r="B38" s="3" t="s">
        <v>242</v>
      </c>
      <c r="C38" s="3" t="s">
        <v>243</v>
      </c>
      <c r="D38" s="3" t="s">
        <v>30</v>
      </c>
      <c r="E38" s="3" t="s">
        <v>124</v>
      </c>
      <c r="F38" s="3" t="s">
        <v>32</v>
      </c>
      <c r="G38" s="3" t="s">
        <v>20</v>
      </c>
      <c r="H38" s="3" t="s">
        <v>71</v>
      </c>
      <c r="I38" s="3" t="s">
        <v>26</v>
      </c>
      <c r="J38" s="3" t="s">
        <v>244</v>
      </c>
      <c r="K38" s="3" t="s">
        <v>206</v>
      </c>
      <c r="L38" s="3" t="s">
        <v>245</v>
      </c>
      <c r="M38" s="3" t="s">
        <v>64</v>
      </c>
      <c r="N38" s="4" t="n">
        <v>46402</v>
      </c>
    </row>
    <row r="39" customFormat="false" ht="42" hidden="false" customHeight="true" outlineLevel="0" collapsed="false">
      <c r="A39" s="2" t="s">
        <v>246</v>
      </c>
      <c r="B39" s="3" t="s">
        <v>247</v>
      </c>
      <c r="C39" s="3" t="s">
        <v>248</v>
      </c>
      <c r="D39" s="3" t="s">
        <v>17</v>
      </c>
      <c r="E39" s="3" t="s">
        <v>249</v>
      </c>
      <c r="F39" s="3" t="s">
        <v>250</v>
      </c>
      <c r="G39" s="3" t="s">
        <v>251</v>
      </c>
      <c r="H39" s="3" t="s">
        <v>44</v>
      </c>
      <c r="I39" s="3" t="s">
        <v>22</v>
      </c>
      <c r="J39" s="3" t="s">
        <v>252</v>
      </c>
      <c r="K39" s="3" t="s">
        <v>253</v>
      </c>
      <c r="L39" s="3" t="s">
        <v>254</v>
      </c>
      <c r="M39" s="3" t="s">
        <v>26</v>
      </c>
      <c r="N39" s="4" t="n">
        <v>46371</v>
      </c>
    </row>
    <row r="40" customFormat="false" ht="42" hidden="false" customHeight="true" outlineLevel="0" collapsed="false">
      <c r="A40" s="2" t="s">
        <v>255</v>
      </c>
      <c r="B40" s="3" t="s">
        <v>256</v>
      </c>
      <c r="C40" s="3" t="s">
        <v>257</v>
      </c>
      <c r="D40" s="3" t="s">
        <v>78</v>
      </c>
      <c r="E40" s="3" t="s">
        <v>249</v>
      </c>
      <c r="F40" s="3" t="s">
        <v>250</v>
      </c>
      <c r="G40" s="3" t="s">
        <v>251</v>
      </c>
      <c r="H40" s="3" t="s">
        <v>44</v>
      </c>
      <c r="I40" s="3" t="s">
        <v>22</v>
      </c>
      <c r="J40" s="3" t="s">
        <v>252</v>
      </c>
      <c r="K40" s="3" t="s">
        <v>253</v>
      </c>
      <c r="L40" s="3" t="s">
        <v>258</v>
      </c>
      <c r="M40" s="3" t="s">
        <v>26</v>
      </c>
      <c r="N40" s="4" t="n">
        <v>46371</v>
      </c>
    </row>
    <row r="41" customFormat="false" ht="42" hidden="false" customHeight="true" outlineLevel="0" collapsed="false">
      <c r="A41" s="2" t="s">
        <v>259</v>
      </c>
      <c r="B41" s="3" t="s">
        <v>260</v>
      </c>
      <c r="C41" s="3" t="s">
        <v>261</v>
      </c>
      <c r="D41" s="3" t="s">
        <v>40</v>
      </c>
      <c r="E41" s="3" t="s">
        <v>249</v>
      </c>
      <c r="F41" s="3" t="s">
        <v>262</v>
      </c>
      <c r="G41" s="3" t="s">
        <v>251</v>
      </c>
      <c r="H41" s="3" t="s">
        <v>44</v>
      </c>
      <c r="I41" s="3" t="s">
        <v>22</v>
      </c>
      <c r="J41" s="3" t="s">
        <v>252</v>
      </c>
      <c r="K41" s="3" t="s">
        <v>253</v>
      </c>
      <c r="L41" s="3" t="s">
        <v>263</v>
      </c>
      <c r="M41" s="3" t="s">
        <v>26</v>
      </c>
      <c r="N41" s="4" t="n">
        <v>46371</v>
      </c>
    </row>
    <row r="42" customFormat="false" ht="42" hidden="false" customHeight="true" outlineLevel="0" collapsed="false">
      <c r="A42" s="2" t="s">
        <v>264</v>
      </c>
      <c r="B42" s="3" t="s">
        <v>265</v>
      </c>
      <c r="C42" s="3" t="s">
        <v>266</v>
      </c>
      <c r="D42" s="3" t="s">
        <v>68</v>
      </c>
      <c r="E42" s="3" t="s">
        <v>249</v>
      </c>
      <c r="F42" s="3" t="s">
        <v>250</v>
      </c>
      <c r="G42" s="3" t="s">
        <v>251</v>
      </c>
      <c r="H42" s="3" t="s">
        <v>44</v>
      </c>
      <c r="I42" s="3" t="s">
        <v>22</v>
      </c>
      <c r="J42" s="3" t="s">
        <v>267</v>
      </c>
      <c r="K42" s="3" t="s">
        <v>132</v>
      </c>
      <c r="L42" s="3" t="s">
        <v>268</v>
      </c>
      <c r="M42" s="3" t="s">
        <v>26</v>
      </c>
      <c r="N42" s="4" t="n">
        <v>46371</v>
      </c>
    </row>
    <row r="43" customFormat="false" ht="42" hidden="false" customHeight="true" outlineLevel="0" collapsed="false">
      <c r="A43" s="2" t="s">
        <v>269</v>
      </c>
      <c r="B43" s="3" t="s">
        <v>270</v>
      </c>
      <c r="C43" s="3" t="s">
        <v>271</v>
      </c>
      <c r="D43" s="3" t="s">
        <v>17</v>
      </c>
      <c r="E43" s="3" t="s">
        <v>249</v>
      </c>
      <c r="F43" s="3" t="s">
        <v>250</v>
      </c>
      <c r="G43" s="3" t="s">
        <v>251</v>
      </c>
      <c r="H43" s="3" t="s">
        <v>21</v>
      </c>
      <c r="I43" s="3" t="s">
        <v>26</v>
      </c>
      <c r="J43" s="3" t="s">
        <v>252</v>
      </c>
      <c r="K43" s="3" t="s">
        <v>253</v>
      </c>
      <c r="L43" s="3" t="s">
        <v>272</v>
      </c>
      <c r="M43" s="3" t="s">
        <v>26</v>
      </c>
      <c r="N43" s="4" t="n">
        <v>46371</v>
      </c>
    </row>
    <row r="44" customFormat="false" ht="42" hidden="false" customHeight="true" outlineLevel="0" collapsed="false">
      <c r="A44" s="2" t="s">
        <v>273</v>
      </c>
      <c r="B44" s="3" t="s">
        <v>252</v>
      </c>
      <c r="C44" s="3" t="s">
        <v>274</v>
      </c>
      <c r="D44" s="3" t="s">
        <v>78</v>
      </c>
      <c r="E44" s="3" t="s">
        <v>249</v>
      </c>
      <c r="F44" s="3" t="s">
        <v>250</v>
      </c>
      <c r="G44" s="3" t="s">
        <v>251</v>
      </c>
      <c r="H44" s="3" t="s">
        <v>44</v>
      </c>
      <c r="I44" s="3" t="s">
        <v>22</v>
      </c>
      <c r="J44" s="3" t="s">
        <v>275</v>
      </c>
      <c r="K44" s="3" t="s">
        <v>253</v>
      </c>
      <c r="L44" s="3" t="s">
        <v>276</v>
      </c>
      <c r="M44" s="3" t="s">
        <v>26</v>
      </c>
      <c r="N44" s="4" t="n">
        <v>46371</v>
      </c>
    </row>
    <row r="45" customFormat="false" ht="42" hidden="false" customHeight="true" outlineLevel="0" collapsed="false">
      <c r="A45" s="2" t="s">
        <v>277</v>
      </c>
      <c r="B45" s="3" t="s">
        <v>278</v>
      </c>
      <c r="C45" s="3" t="s">
        <v>279</v>
      </c>
      <c r="D45" s="3" t="s">
        <v>17</v>
      </c>
      <c r="E45" s="3" t="s">
        <v>280</v>
      </c>
      <c r="F45" s="3" t="s">
        <v>281</v>
      </c>
      <c r="G45" s="3" t="s">
        <v>251</v>
      </c>
      <c r="H45" s="3" t="s">
        <v>21</v>
      </c>
      <c r="I45" s="3" t="s">
        <v>26</v>
      </c>
      <c r="J45" s="3" t="s">
        <v>282</v>
      </c>
      <c r="K45" s="3" t="s">
        <v>192</v>
      </c>
      <c r="L45" s="3" t="s">
        <v>283</v>
      </c>
      <c r="M45" s="3" t="s">
        <v>26</v>
      </c>
      <c r="N45" s="4" t="n">
        <v>46371</v>
      </c>
    </row>
    <row r="46" customFormat="false" ht="42" hidden="false" customHeight="true" outlineLevel="0" collapsed="false">
      <c r="A46" s="2" t="s">
        <v>284</v>
      </c>
      <c r="B46" s="3" t="s">
        <v>285</v>
      </c>
      <c r="C46" s="3" t="s">
        <v>286</v>
      </c>
      <c r="D46" s="3" t="s">
        <v>30</v>
      </c>
      <c r="E46" s="3" t="s">
        <v>280</v>
      </c>
      <c r="F46" s="3" t="s">
        <v>281</v>
      </c>
      <c r="G46" s="3" t="s">
        <v>251</v>
      </c>
      <c r="H46" s="3" t="s">
        <v>21</v>
      </c>
      <c r="I46" s="3" t="s">
        <v>26</v>
      </c>
      <c r="J46" s="3" t="s">
        <v>34</v>
      </c>
      <c r="K46" s="3" t="s">
        <v>192</v>
      </c>
      <c r="L46" s="3" t="s">
        <v>287</v>
      </c>
      <c r="M46" s="3" t="s">
        <v>64</v>
      </c>
      <c r="N46" s="4" t="n">
        <v>46371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5" t="s">
        <v>7</v>
      </c>
      <c r="B1" s="5" t="s">
        <v>288</v>
      </c>
      <c r="C1" s="5" t="s">
        <v>8</v>
      </c>
      <c r="D1" s="5" t="s">
        <v>288</v>
      </c>
    </row>
    <row r="2" customFormat="false" ht="15" hidden="false" customHeight="false" outlineLevel="0" collapsed="false">
      <c r="A2" s="6" t="s">
        <v>289</v>
      </c>
      <c r="B2" s="6" t="s">
        <v>290</v>
      </c>
      <c r="C2" s="6" t="s">
        <v>183</v>
      </c>
      <c r="D2" s="6" t="s">
        <v>291</v>
      </c>
    </row>
    <row r="3" customFormat="false" ht="28.35" hidden="false" customHeight="false" outlineLevel="0" collapsed="false">
      <c r="A3" s="6" t="s">
        <v>71</v>
      </c>
      <c r="B3" s="6" t="s">
        <v>292</v>
      </c>
      <c r="C3" s="6" t="s">
        <v>64</v>
      </c>
      <c r="D3" s="6" t="s">
        <v>293</v>
      </c>
    </row>
    <row r="4" customFormat="false" ht="28.35" hidden="false" customHeight="false" outlineLevel="0" collapsed="false">
      <c r="A4" s="6" t="s">
        <v>21</v>
      </c>
      <c r="B4" s="6" t="s">
        <v>294</v>
      </c>
      <c r="C4" s="6" t="s">
        <v>26</v>
      </c>
      <c r="D4" s="6" t="s">
        <v>295</v>
      </c>
    </row>
    <row r="5" customFormat="false" ht="28.35" hidden="false" customHeight="false" outlineLevel="0" collapsed="false">
      <c r="A5" s="6" t="s">
        <v>44</v>
      </c>
      <c r="B5" s="6" t="s">
        <v>296</v>
      </c>
      <c r="C5" s="6" t="s">
        <v>22</v>
      </c>
      <c r="D5" s="6" t="s">
        <v>297</v>
      </c>
    </row>
    <row r="6" customFormat="false" ht="15" hidden="false" customHeight="false" outlineLevel="0" collapsed="false">
      <c r="A6" s="6"/>
      <c r="B6" s="6"/>
      <c r="C6" s="6"/>
      <c r="D6" s="6"/>
    </row>
    <row r="7" customFormat="false" ht="15" hidden="false" customHeight="false" outlineLevel="0" collapsed="false">
      <c r="A7" s="5" t="s">
        <v>12</v>
      </c>
      <c r="B7" s="5" t="s">
        <v>298</v>
      </c>
      <c r="C7" s="6"/>
      <c r="D7" s="6"/>
    </row>
    <row r="8" customFormat="false" ht="28.35" hidden="false" customHeight="false" outlineLevel="0" collapsed="false">
      <c r="A8" s="6" t="s">
        <v>183</v>
      </c>
      <c r="B8" s="6" t="s">
        <v>299</v>
      </c>
      <c r="C8" s="6"/>
      <c r="D8" s="6"/>
    </row>
    <row r="9" customFormat="false" ht="15" hidden="false" customHeight="false" outlineLevel="0" collapsed="false">
      <c r="A9" s="6" t="s">
        <v>64</v>
      </c>
      <c r="B9" s="6" t="s">
        <v>300</v>
      </c>
      <c r="C9" s="6"/>
      <c r="D9" s="6"/>
    </row>
    <row r="10" customFormat="false" ht="28.35" hidden="false" customHeight="false" outlineLevel="0" collapsed="false">
      <c r="A10" s="6" t="s">
        <v>26</v>
      </c>
      <c r="B10" s="6" t="s">
        <v>301</v>
      </c>
      <c r="C10" s="6"/>
      <c r="D1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7" t="s">
        <v>302</v>
      </c>
    </row>
    <row r="2" customFormat="false" ht="15" hidden="false" customHeight="false" outlineLevel="0" collapsed="false">
      <c r="A2" s="8" t="s">
        <v>303</v>
      </c>
    </row>
    <row r="4" customFormat="false" ht="15" hidden="false" customHeight="false" outlineLevel="0" collapsed="false">
      <c r="A4" s="9" t="s">
        <v>304</v>
      </c>
      <c r="B4" s="9" t="s">
        <v>305</v>
      </c>
    </row>
    <row r="5" customFormat="false" ht="15" hidden="false" customHeight="false" outlineLevel="0" collapsed="false">
      <c r="A5" s="10" t="s">
        <v>306</v>
      </c>
      <c r="B5" s="11" t="n">
        <f aca="false">COUNTA('Information Asset Register'!$B$2:$B$46)</f>
        <v>45</v>
      </c>
    </row>
    <row r="6" customFormat="false" ht="15" hidden="false" customHeight="false" outlineLevel="0" collapsed="false">
      <c r="A6" s="10" t="s">
        <v>307</v>
      </c>
      <c r="B6" s="11" t="n">
        <f aca="false">COUNTIF('Information Asset Register'!$G$2:$G$46,"PayStream Analytics")</f>
        <v>8</v>
      </c>
    </row>
    <row r="7" customFormat="false" ht="15" hidden="false" customHeight="false" outlineLevel="0" collapsed="false">
      <c r="A7" s="10" t="s">
        <v>308</v>
      </c>
      <c r="B7" s="11" t="n">
        <f aca="false">COUNTIF('Information Asset Register'!$M$2:$M$46,"High")</f>
        <v>27</v>
      </c>
    </row>
    <row r="8" customFormat="false" ht="15" hidden="false" customHeight="false" outlineLevel="0" collapsed="false">
      <c r="A8" s="10" t="s">
        <v>309</v>
      </c>
      <c r="B8" s="11" t="n">
        <f aca="false">COUNTIFS('Information Asset Register'!$H$2:$H$46,"Restricted",'Information Asset Register'!$I$2:$I$46,"Critical")</f>
        <v>12</v>
      </c>
    </row>
    <row r="9" customFormat="false" ht="15" hidden="false" customHeight="false" outlineLevel="0" collapsed="false">
      <c r="A9" s="10" t="s">
        <v>310</v>
      </c>
      <c r="B9" s="11" t="n">
        <f aca="false">COUNTIFS('Information Asset Register'!$I$2:$I$46,"Critical",'Information Asset Register'!$M$2:$M$46,"High")</f>
        <v>23</v>
      </c>
    </row>
    <row r="11" customFormat="false" ht="15" hidden="false" customHeight="false" outlineLevel="0" collapsed="false">
      <c r="A11" s="12" t="s">
        <v>3</v>
      </c>
      <c r="B11" s="13" t="s">
        <v>311</v>
      </c>
      <c r="C11" s="13" t="s">
        <v>312</v>
      </c>
    </row>
    <row r="12" customFormat="false" ht="15" hidden="false" customHeight="false" outlineLevel="0" collapsed="false">
      <c r="A12" s="10" t="s">
        <v>17</v>
      </c>
      <c r="B12" s="11" t="n">
        <f aca="false">COUNTIF('Information Asset Register'!$D$2:$D$46,A12)</f>
        <v>12</v>
      </c>
      <c r="C12" s="14" t="n">
        <f aca="false">B12/$B$5</f>
        <v>0.266666666666667</v>
      </c>
    </row>
    <row r="13" customFormat="false" ht="15" hidden="false" customHeight="false" outlineLevel="0" collapsed="false">
      <c r="A13" s="10" t="s">
        <v>68</v>
      </c>
      <c r="B13" s="11" t="n">
        <f aca="false">COUNTIF('Information Asset Register'!$D$2:$D$46,A13)</f>
        <v>7</v>
      </c>
      <c r="C13" s="14" t="n">
        <f aca="false">B13/$B$5</f>
        <v>0.155555555555556</v>
      </c>
    </row>
    <row r="14" customFormat="false" ht="15" hidden="false" customHeight="false" outlineLevel="0" collapsed="false">
      <c r="A14" s="10" t="s">
        <v>40</v>
      </c>
      <c r="B14" s="11" t="n">
        <f aca="false">COUNTIF('Information Asset Register'!$D$2:$D$46,A14)</f>
        <v>7</v>
      </c>
      <c r="C14" s="14" t="n">
        <f aca="false">B14/$B$5</f>
        <v>0.155555555555556</v>
      </c>
    </row>
    <row r="15" customFormat="false" ht="15" hidden="false" customHeight="false" outlineLevel="0" collapsed="false">
      <c r="A15" s="10" t="s">
        <v>78</v>
      </c>
      <c r="B15" s="11" t="n">
        <f aca="false">COUNTIF('Information Asset Register'!$D$2:$D$46,A15)</f>
        <v>8</v>
      </c>
      <c r="C15" s="14" t="n">
        <f aca="false">B15/$B$5</f>
        <v>0.177777777777778</v>
      </c>
    </row>
    <row r="16" customFormat="false" ht="15" hidden="false" customHeight="false" outlineLevel="0" collapsed="false">
      <c r="A16" s="10" t="s">
        <v>115</v>
      </c>
      <c r="B16" s="11" t="n">
        <f aca="false">COUNTIF('Information Asset Register'!$D$2:$D$46,A16)</f>
        <v>5</v>
      </c>
      <c r="C16" s="14" t="n">
        <f aca="false">B16/$B$5</f>
        <v>0.111111111111111</v>
      </c>
    </row>
    <row r="17" customFormat="false" ht="15" hidden="false" customHeight="false" outlineLevel="0" collapsed="false">
      <c r="A17" s="10" t="s">
        <v>30</v>
      </c>
      <c r="B17" s="11" t="n">
        <f aca="false">COUNTIF('Information Asset Register'!$D$2:$D$46,A17)</f>
        <v>6</v>
      </c>
      <c r="C17" s="14" t="n">
        <f aca="false">B17/$B$5</f>
        <v>0.133333333333333</v>
      </c>
    </row>
    <row r="18" customFormat="false" ht="15" hidden="false" customHeight="false" outlineLevel="0" collapsed="false">
      <c r="A18" s="15" t="s">
        <v>313</v>
      </c>
      <c r="B18" s="16" t="n">
        <f aca="false">SUM(B12:B17)</f>
        <v>45</v>
      </c>
      <c r="C18" s="17" t="n">
        <f aca="false">B18/$B$5</f>
        <v>1</v>
      </c>
    </row>
    <row r="20" customFormat="false" ht="15" hidden="false" customHeight="false" outlineLevel="0" collapsed="false">
      <c r="A20" s="12" t="s">
        <v>7</v>
      </c>
      <c r="B20" s="13" t="s">
        <v>311</v>
      </c>
      <c r="C20" s="13" t="s">
        <v>312</v>
      </c>
    </row>
    <row r="21" customFormat="false" ht="15" hidden="false" customHeight="false" outlineLevel="0" collapsed="false">
      <c r="A21" s="10" t="s">
        <v>289</v>
      </c>
      <c r="B21" s="11" t="n">
        <f aca="false">COUNTIF('Information Asset Register'!$H$2:$H$46,A21)</f>
        <v>0</v>
      </c>
      <c r="C21" s="14" t="n">
        <f aca="false">B21/$B$5</f>
        <v>0</v>
      </c>
    </row>
    <row r="22" customFormat="false" ht="15" hidden="false" customHeight="false" outlineLevel="0" collapsed="false">
      <c r="A22" s="10" t="s">
        <v>71</v>
      </c>
      <c r="B22" s="11" t="n">
        <f aca="false">COUNTIF('Information Asset Register'!$H$2:$H$46,A22)</f>
        <v>14</v>
      </c>
      <c r="C22" s="14" t="n">
        <f aca="false">B22/$B$5</f>
        <v>0.311111111111111</v>
      </c>
    </row>
    <row r="23" customFormat="false" ht="15" hidden="false" customHeight="false" outlineLevel="0" collapsed="false">
      <c r="A23" s="10" t="s">
        <v>21</v>
      </c>
      <c r="B23" s="11" t="n">
        <f aca="false">COUNTIF('Information Asset Register'!$H$2:$H$46,A23)</f>
        <v>18</v>
      </c>
      <c r="C23" s="14" t="n">
        <f aca="false">B23/$B$5</f>
        <v>0.4</v>
      </c>
    </row>
    <row r="24" customFormat="false" ht="15" hidden="false" customHeight="false" outlineLevel="0" collapsed="false">
      <c r="A24" s="10" t="s">
        <v>44</v>
      </c>
      <c r="B24" s="11" t="n">
        <f aca="false">COUNTIF('Information Asset Register'!$H$2:$H$46,A24)</f>
        <v>13</v>
      </c>
      <c r="C24" s="14" t="n">
        <f aca="false">B24/$B$5</f>
        <v>0.288888888888889</v>
      </c>
    </row>
    <row r="25" customFormat="false" ht="15" hidden="false" customHeight="false" outlineLevel="0" collapsed="false">
      <c r="A25" s="15" t="s">
        <v>313</v>
      </c>
      <c r="B25" s="16" t="n">
        <f aca="false">SUM(B21:B24)</f>
        <v>45</v>
      </c>
      <c r="C25" s="17" t="n">
        <f aca="false">B25/$B$5</f>
        <v>1</v>
      </c>
    </row>
    <row r="27" customFormat="false" ht="15" hidden="false" customHeight="false" outlineLevel="0" collapsed="false">
      <c r="A27" s="12" t="s">
        <v>8</v>
      </c>
      <c r="B27" s="13" t="s">
        <v>311</v>
      </c>
      <c r="C27" s="13" t="s">
        <v>312</v>
      </c>
    </row>
    <row r="28" customFormat="false" ht="15" hidden="false" customHeight="false" outlineLevel="0" collapsed="false">
      <c r="A28" s="10" t="s">
        <v>183</v>
      </c>
      <c r="B28" s="11" t="n">
        <f aca="false">COUNTIF('Information Asset Register'!$I$2:$I$46,A28)</f>
        <v>0</v>
      </c>
      <c r="C28" s="14" t="n">
        <f aca="false">B28/$B$5</f>
        <v>0</v>
      </c>
    </row>
    <row r="29" customFormat="false" ht="15" hidden="false" customHeight="false" outlineLevel="0" collapsed="false">
      <c r="A29" s="10" t="s">
        <v>64</v>
      </c>
      <c r="B29" s="11" t="n">
        <f aca="false">COUNTIF('Information Asset Register'!$I$2:$I$46,A29)</f>
        <v>4</v>
      </c>
      <c r="C29" s="14" t="n">
        <f aca="false">B29/$B$5</f>
        <v>0.0888888888888889</v>
      </c>
    </row>
    <row r="30" customFormat="false" ht="15" hidden="false" customHeight="false" outlineLevel="0" collapsed="false">
      <c r="A30" s="10" t="s">
        <v>26</v>
      </c>
      <c r="B30" s="11" t="n">
        <f aca="false">COUNTIF('Information Asset Register'!$I$2:$I$46,A30)</f>
        <v>13</v>
      </c>
      <c r="C30" s="14" t="n">
        <f aca="false">B30/$B$5</f>
        <v>0.288888888888889</v>
      </c>
    </row>
    <row r="31" customFormat="false" ht="15" hidden="false" customHeight="false" outlineLevel="0" collapsed="false">
      <c r="A31" s="10" t="s">
        <v>22</v>
      </c>
      <c r="B31" s="11" t="n">
        <f aca="false">COUNTIF('Information Asset Register'!$I$2:$I$46,A31)</f>
        <v>28</v>
      </c>
      <c r="C31" s="14" t="n">
        <f aca="false">B31/$B$5</f>
        <v>0.622222222222222</v>
      </c>
    </row>
    <row r="32" customFormat="false" ht="15" hidden="false" customHeight="false" outlineLevel="0" collapsed="false">
      <c r="A32" s="15" t="s">
        <v>313</v>
      </c>
      <c r="B32" s="16" t="n">
        <f aca="false">SUM(B28:B31)</f>
        <v>45</v>
      </c>
      <c r="C32" s="17" t="n">
        <f aca="false">B32/$B$5</f>
        <v>1</v>
      </c>
    </row>
    <row r="34" customFormat="false" ht="15" hidden="false" customHeight="false" outlineLevel="0" collapsed="false">
      <c r="A34" s="12" t="s">
        <v>12</v>
      </c>
      <c r="B34" s="13" t="s">
        <v>311</v>
      </c>
      <c r="C34" s="13" t="s">
        <v>312</v>
      </c>
    </row>
    <row r="35" customFormat="false" ht="15" hidden="false" customHeight="false" outlineLevel="0" collapsed="false">
      <c r="A35" s="10" t="s">
        <v>183</v>
      </c>
      <c r="B35" s="11" t="n">
        <f aca="false">COUNTIF('Information Asset Register'!$M$2:$M$46,A35)</f>
        <v>1</v>
      </c>
      <c r="C35" s="14" t="n">
        <f aca="false">B35/$B$5</f>
        <v>0.0222222222222222</v>
      </c>
    </row>
    <row r="36" customFormat="false" ht="15" hidden="false" customHeight="false" outlineLevel="0" collapsed="false">
      <c r="A36" s="10" t="s">
        <v>64</v>
      </c>
      <c r="B36" s="11" t="n">
        <f aca="false">COUNTIF('Information Asset Register'!$M$2:$M$46,A36)</f>
        <v>17</v>
      </c>
      <c r="C36" s="14" t="n">
        <f aca="false">B36/$B$5</f>
        <v>0.377777777777778</v>
      </c>
    </row>
    <row r="37" customFormat="false" ht="15" hidden="false" customHeight="false" outlineLevel="0" collapsed="false">
      <c r="A37" s="10" t="s">
        <v>26</v>
      </c>
      <c r="B37" s="11" t="n">
        <f aca="false">COUNTIF('Information Asset Register'!$M$2:$M$46,A37)</f>
        <v>27</v>
      </c>
      <c r="C37" s="14" t="n">
        <f aca="false">B37/$B$5</f>
        <v>0.6</v>
      </c>
    </row>
    <row r="38" customFormat="false" ht="15" hidden="false" customHeight="false" outlineLevel="0" collapsed="false">
      <c r="A38" s="15" t="s">
        <v>313</v>
      </c>
      <c r="B38" s="16" t="n">
        <f aca="false">SUM(B35:B37)</f>
        <v>45</v>
      </c>
      <c r="C38" s="17" t="n">
        <f aca="false">B38/$B$5</f>
        <v>1</v>
      </c>
    </row>
    <row r="40" customFormat="false" ht="15" hidden="false" customHeight="false" outlineLevel="0" collapsed="false">
      <c r="A40" s="12" t="s">
        <v>314</v>
      </c>
      <c r="B40" s="13" t="s">
        <v>183</v>
      </c>
      <c r="C40" s="13" t="s">
        <v>64</v>
      </c>
      <c r="D40" s="13" t="s">
        <v>26</v>
      </c>
      <c r="E40" s="13" t="s">
        <v>22</v>
      </c>
    </row>
    <row r="41" customFormat="false" ht="15" hidden="false" customHeight="false" outlineLevel="0" collapsed="false">
      <c r="A41" s="10" t="s">
        <v>289</v>
      </c>
      <c r="B41" s="11" t="n">
        <f aca="false">COUNTIFS('Information Asset Register'!$H$2:$H$46,$A41,'Information Asset Register'!$I$2:$I$46,B$40)</f>
        <v>0</v>
      </c>
      <c r="C41" s="11" t="n">
        <f aca="false">COUNTIFS('Information Asset Register'!$H$2:$H$46,$A41,'Information Asset Register'!$I$2:$I$46,C$40)</f>
        <v>0</v>
      </c>
      <c r="D41" s="11" t="n">
        <f aca="false">COUNTIFS('Information Asset Register'!$H$2:$H$46,$A41,'Information Asset Register'!$I$2:$I$46,D$40)</f>
        <v>0</v>
      </c>
      <c r="E41" s="11" t="n">
        <f aca="false">COUNTIFS('Information Asset Register'!$H$2:$H$46,$A41,'Information Asset Register'!$I$2:$I$46,E$40)</f>
        <v>0</v>
      </c>
    </row>
    <row r="42" customFormat="false" ht="15" hidden="false" customHeight="false" outlineLevel="0" collapsed="false">
      <c r="A42" s="10" t="s">
        <v>71</v>
      </c>
      <c r="B42" s="11" t="n">
        <f aca="false">COUNTIFS('Information Asset Register'!$H$2:$H$46,$A42,'Information Asset Register'!$I$2:$I$46,B$40)</f>
        <v>0</v>
      </c>
      <c r="C42" s="11" t="n">
        <f aca="false">COUNTIFS('Information Asset Register'!$H$2:$H$46,$A42,'Information Asset Register'!$I$2:$I$46,C$40)</f>
        <v>4</v>
      </c>
      <c r="D42" s="11" t="n">
        <f aca="false">COUNTIFS('Information Asset Register'!$H$2:$H$46,$A42,'Information Asset Register'!$I$2:$I$46,D$40)</f>
        <v>1</v>
      </c>
      <c r="E42" s="11" t="n">
        <f aca="false">COUNTIFS('Information Asset Register'!$H$2:$H$46,$A42,'Information Asset Register'!$I$2:$I$46,E$40)</f>
        <v>9</v>
      </c>
    </row>
    <row r="43" customFormat="false" ht="15" hidden="false" customHeight="false" outlineLevel="0" collapsed="false">
      <c r="A43" s="10" t="s">
        <v>21</v>
      </c>
      <c r="B43" s="11" t="n">
        <f aca="false">COUNTIFS('Information Asset Register'!$H$2:$H$46,$A43,'Information Asset Register'!$I$2:$I$46,B$40)</f>
        <v>0</v>
      </c>
      <c r="C43" s="11" t="n">
        <f aca="false">COUNTIFS('Information Asset Register'!$H$2:$H$46,$A43,'Information Asset Register'!$I$2:$I$46,C$40)</f>
        <v>0</v>
      </c>
      <c r="D43" s="11" t="n">
        <f aca="false">COUNTIFS('Information Asset Register'!$H$2:$H$46,$A43,'Information Asset Register'!$I$2:$I$46,D$40)</f>
        <v>11</v>
      </c>
      <c r="E43" s="11" t="n">
        <f aca="false">COUNTIFS('Information Asset Register'!$H$2:$H$46,$A43,'Information Asset Register'!$I$2:$I$46,E$40)</f>
        <v>7</v>
      </c>
    </row>
    <row r="44" customFormat="false" ht="15" hidden="false" customHeight="false" outlineLevel="0" collapsed="false">
      <c r="A44" s="10" t="s">
        <v>44</v>
      </c>
      <c r="B44" s="11" t="n">
        <f aca="false">COUNTIFS('Information Asset Register'!$H$2:$H$46,$A44,'Information Asset Register'!$I$2:$I$46,B$40)</f>
        <v>0</v>
      </c>
      <c r="C44" s="11" t="n">
        <f aca="false">COUNTIFS('Information Asset Register'!$H$2:$H$46,$A44,'Information Asset Register'!$I$2:$I$46,C$40)</f>
        <v>0</v>
      </c>
      <c r="D44" s="11" t="n">
        <f aca="false">COUNTIFS('Information Asset Register'!$H$2:$H$46,$A44,'Information Asset Register'!$I$2:$I$46,D$40)</f>
        <v>1</v>
      </c>
      <c r="E44" s="11" t="n">
        <f aca="false">COUNTIFS('Information Asset Register'!$H$2:$H$46,$A44,'Information Asset Register'!$I$2:$I$46,E$40)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60"/>
  </cols>
  <sheetData>
    <row r="2" customFormat="false" ht="17.35" hidden="false" customHeight="false" outlineLevel="0" collapsed="false">
      <c r="B2" s="7" t="s">
        <v>315</v>
      </c>
    </row>
    <row r="4" customFormat="false" ht="15" hidden="false" customHeight="false" outlineLevel="0" collapsed="false">
      <c r="B4" s="18" t="s">
        <v>316</v>
      </c>
      <c r="C4" s="18" t="s">
        <v>2</v>
      </c>
    </row>
    <row r="5" customFormat="false" ht="15" hidden="false" customHeight="false" outlineLevel="0" collapsed="false">
      <c r="B5" s="19" t="s">
        <v>317</v>
      </c>
      <c r="C5" s="20" t="s">
        <v>318</v>
      </c>
    </row>
    <row r="6" customFormat="false" ht="15" hidden="false" customHeight="false" outlineLevel="0" collapsed="false">
      <c r="B6" s="19" t="s">
        <v>319</v>
      </c>
      <c r="C6" s="20" t="s">
        <v>320</v>
      </c>
    </row>
    <row r="7" customFormat="false" ht="15" hidden="false" customHeight="false" outlineLevel="0" collapsed="false">
      <c r="B7" s="19" t="s">
        <v>321</v>
      </c>
      <c r="C7" s="20" t="s">
        <v>71</v>
      </c>
    </row>
    <row r="8" customFormat="false" ht="15" hidden="false" customHeight="false" outlineLevel="0" collapsed="false">
      <c r="B8" s="19" t="s">
        <v>322</v>
      </c>
      <c r="C8" s="20" t="s">
        <v>323</v>
      </c>
    </row>
    <row r="9" customFormat="false" ht="15" hidden="false" customHeight="false" outlineLevel="0" collapsed="false">
      <c r="B9" s="19" t="s">
        <v>324</v>
      </c>
      <c r="C9" s="20" t="s">
        <v>325</v>
      </c>
    </row>
    <row r="10" customFormat="false" ht="15" hidden="false" customHeight="false" outlineLevel="0" collapsed="false">
      <c r="B10" s="19" t="s">
        <v>4</v>
      </c>
      <c r="C10" s="20" t="s">
        <v>326</v>
      </c>
    </row>
    <row r="11" customFormat="false" ht="15" hidden="false" customHeight="false" outlineLevel="0" collapsed="false">
      <c r="B11" s="19" t="s">
        <v>327</v>
      </c>
      <c r="C11" s="20" t="s">
        <v>328</v>
      </c>
    </row>
    <row r="12" customFormat="false" ht="15" hidden="false" customHeight="false" outlineLevel="0" collapsed="false">
      <c r="B12" s="19" t="s">
        <v>329</v>
      </c>
      <c r="C12" s="20" t="s">
        <v>330</v>
      </c>
    </row>
    <row r="13" customFormat="false" ht="28.35" hidden="false" customHeight="false" outlineLevel="0" collapsed="false">
      <c r="B13" s="19" t="s">
        <v>331</v>
      </c>
      <c r="C13" s="20" t="s">
        <v>332</v>
      </c>
    </row>
    <row r="15" customFormat="false" ht="15" hidden="false" customHeight="false" outlineLevel="0" collapsed="false">
      <c r="B15" s="21" t="s">
        <v>333</v>
      </c>
    </row>
    <row r="16" customFormat="false" ht="15" hidden="false" customHeight="false" outlineLevel="0" collapsed="false">
      <c r="B16" s="18" t="s">
        <v>334</v>
      </c>
      <c r="C16" s="18" t="s">
        <v>335</v>
      </c>
      <c r="D16" s="18" t="s">
        <v>336</v>
      </c>
      <c r="E16" s="18" t="s">
        <v>337</v>
      </c>
    </row>
    <row r="17" customFormat="false" ht="28.35" hidden="false" customHeight="false" outlineLevel="0" collapsed="false">
      <c r="B17" s="20" t="s">
        <v>338</v>
      </c>
      <c r="C17" s="20" t="s">
        <v>325</v>
      </c>
      <c r="D17" s="20" t="s">
        <v>339</v>
      </c>
      <c r="E17" s="20" t="s">
        <v>340</v>
      </c>
    </row>
    <row r="19" customFormat="false" ht="15" hidden="false" customHeight="false" outlineLevel="0" collapsed="false">
      <c r="B19" s="21" t="s">
        <v>341</v>
      </c>
    </row>
    <row r="20" customFormat="false" ht="31.5" hidden="false" customHeight="true" outlineLevel="0" collapsed="false">
      <c r="B20" s="22" t="s">
        <v>342</v>
      </c>
      <c r="C20" s="22"/>
      <c r="D20" s="22"/>
      <c r="E20" s="22"/>
    </row>
    <row r="21" customFormat="false" ht="31.5" hidden="false" customHeight="true" outlineLevel="0" collapsed="false">
      <c r="B21" s="22" t="s">
        <v>343</v>
      </c>
      <c r="C21" s="22"/>
      <c r="D21" s="22"/>
      <c r="E21" s="22"/>
    </row>
    <row r="22" customFormat="false" ht="31.5" hidden="false" customHeight="true" outlineLevel="0" collapsed="false">
      <c r="B22" s="22" t="s">
        <v>344</v>
      </c>
      <c r="C22" s="22"/>
      <c r="D22" s="22"/>
      <c r="E22" s="22"/>
    </row>
  </sheetData>
  <mergeCells count="3">
    <mergeCell ref="B20:E20"/>
    <mergeCell ref="B21:E21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2026-10-12T19:00:11Z</dcterms:created>
  <dc:creator>openpyxl</dc:creator>
  <dc:description/>
  <dc:language>en-US</dc:language>
  <cp:lastModifiedBy/>
  <dcterms:modified xsi:type="dcterms:W3CDTF">2026-10-12T19:00:11Z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